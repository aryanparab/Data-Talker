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lek\Documents\EvolveNxt\HR\Hiring\Case Studies\AI Dev Case Study\"/>
    </mc:Choice>
  </mc:AlternateContent>
  <xr:revisionPtr revIDLastSave="0" documentId="13_ncr:1_{BF5CD0F0-0B46-4D35-8156-D35D6A8E5441}" xr6:coauthVersionLast="47" xr6:coauthVersionMax="47" xr10:uidLastSave="{00000000-0000-0000-0000-000000000000}"/>
  <bookViews>
    <workbookView xWindow="47895" yWindow="0" windowWidth="19410" windowHeight="15585" xr2:uid="{C6793D4C-39A6-46F3-A1C8-D9CDA412553A}"/>
  </bookViews>
  <sheets>
    <sheet name="DS-1" sheetId="3" r:id="rId1"/>
    <sheet name="DS-2" sheetId="11" r:id="rId2"/>
    <sheet name="Sheet1" sheetId="12" state="hidden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2" l="1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4" i="12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L19" i="12" s="1"/>
  <c r="L20" i="12" s="1"/>
  <c r="L21" i="12" s="1"/>
  <c r="L22" i="12" s="1"/>
  <c r="L23" i="12" s="1"/>
  <c r="L24" i="12" s="1"/>
  <c r="L25" i="12" s="1"/>
  <c r="L26" i="12" s="1"/>
  <c r="L27" i="12" s="1"/>
  <c r="L28" i="12" s="1"/>
  <c r="L29" i="12" s="1"/>
  <c r="L30" i="12" s="1"/>
  <c r="L31" i="12" s="1"/>
  <c r="L32" i="12" s="1"/>
  <c r="L33" i="12" s="1"/>
  <c r="L34" i="12" s="1"/>
  <c r="L35" i="12" s="1"/>
  <c r="L36" i="12" s="1"/>
  <c r="L37" i="12" s="1"/>
  <c r="L38" i="12" s="1"/>
  <c r="L39" i="12" s="1"/>
  <c r="L40" i="12" s="1"/>
  <c r="L41" i="12" s="1"/>
  <c r="L42" i="12" s="1"/>
  <c r="L43" i="12" s="1"/>
  <c r="L44" i="12" s="1"/>
  <c r="L45" i="12" s="1"/>
  <c r="L46" i="12" s="1"/>
  <c r="L47" i="12" s="1"/>
  <c r="L48" i="12" s="1"/>
  <c r="L49" i="12" s="1"/>
  <c r="L50" i="12" s="1"/>
  <c r="L5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4" i="12"/>
  <c r="F6" i="12"/>
  <c r="F7" i="12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F54" i="12" s="1"/>
  <c r="F55" i="12" s="1"/>
  <c r="F56" i="12" s="1"/>
  <c r="F57" i="12" s="1"/>
  <c r="F58" i="12" s="1"/>
  <c r="F59" i="12" s="1"/>
  <c r="F60" i="12" s="1"/>
  <c r="F61" i="12" s="1"/>
  <c r="F62" i="12" s="1"/>
  <c r="F63" i="12" s="1"/>
  <c r="F64" i="12" s="1"/>
  <c r="F65" i="12" s="1"/>
  <c r="F66" i="12" s="1"/>
  <c r="F67" i="12" s="1"/>
  <c r="F68" i="12" s="1"/>
  <c r="F69" i="12" s="1"/>
  <c r="F70" i="12" s="1"/>
  <c r="F71" i="12" s="1"/>
  <c r="F72" i="12" s="1"/>
  <c r="F73" i="12" s="1"/>
  <c r="F74" i="12" s="1"/>
  <c r="F75" i="12" s="1"/>
  <c r="F76" i="12" s="1"/>
  <c r="F5" i="12"/>
  <c r="E21" i="3" l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5" i="3"/>
  <c r="E6" i="3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4" i="3"/>
  <c r="G96" i="11"/>
  <c r="AO88" i="11"/>
  <c r="AN88" i="11"/>
  <c r="AM88" i="11"/>
  <c r="AL88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H96" i="11" l="1"/>
  <c r="I96" i="11" s="1"/>
  <c r="J96" i="11" s="1"/>
  <c r="K96" i="11" s="1"/>
  <c r="L96" i="11" s="1"/>
  <c r="M96" i="11" s="1"/>
  <c r="N96" i="11" s="1"/>
  <c r="O96" i="11" s="1"/>
  <c r="P96" i="11" s="1"/>
  <c r="Q96" i="11" s="1"/>
  <c r="R96" i="11" s="1"/>
  <c r="S96" i="11" s="1"/>
  <c r="T96" i="11" s="1"/>
  <c r="U96" i="11" s="1"/>
  <c r="V96" i="11" s="1"/>
  <c r="W96" i="11" s="1"/>
  <c r="X96" i="11" s="1"/>
  <c r="Y96" i="11" s="1"/>
  <c r="Z96" i="11" s="1"/>
  <c r="AA96" i="11" s="1"/>
  <c r="AB96" i="11" s="1"/>
  <c r="AC96" i="11" s="1"/>
  <c r="AD96" i="11" s="1"/>
  <c r="AE96" i="11" s="1"/>
  <c r="AF96" i="11" s="1"/>
  <c r="AG96" i="11" s="1"/>
  <c r="AH96" i="11" s="1"/>
  <c r="AI96" i="11" s="1"/>
  <c r="AJ96" i="11" s="1"/>
  <c r="AK96" i="11" s="1"/>
  <c r="AL96" i="11" s="1"/>
  <c r="AM96" i="11" s="1"/>
  <c r="AN96" i="11" s="1"/>
  <c r="AO96" i="11" s="1"/>
</calcChain>
</file>

<file path=xl/sharedStrings.xml><?xml version="1.0" encoding="utf-8"?>
<sst xmlns="http://schemas.openxmlformats.org/spreadsheetml/2006/main" count="1151" uniqueCount="276">
  <si>
    <t>Salesperson</t>
  </si>
  <si>
    <t>Orders</t>
  </si>
  <si>
    <t>Training</t>
  </si>
  <si>
    <t>Bonus Pay</t>
  </si>
  <si>
    <t>ID</t>
  </si>
  <si>
    <t>Name</t>
  </si>
  <si>
    <t>Age</t>
  </si>
  <si>
    <t>order_date</t>
  </si>
  <si>
    <t>salesperson_id</t>
  </si>
  <si>
    <t>Amount</t>
  </si>
  <si>
    <t>Start_date</t>
  </si>
  <si>
    <t>End_date</t>
  </si>
  <si>
    <t>Year</t>
  </si>
  <si>
    <t>Tier</t>
  </si>
  <si>
    <t>Bonus</t>
  </si>
  <si>
    <t>Joe</t>
  </si>
  <si>
    <t>Bob</t>
  </si>
  <si>
    <t>Chris</t>
  </si>
  <si>
    <t>Dan</t>
  </si>
  <si>
    <t>Ken</t>
  </si>
  <si>
    <t>Bill</t>
  </si>
  <si>
    <t>Agent Name</t>
  </si>
  <si>
    <t>Upline Manager</t>
  </si>
  <si>
    <t>Agency Name</t>
  </si>
  <si>
    <t>Jordan Brown</t>
  </si>
  <si>
    <t>Drew Smith</t>
  </si>
  <si>
    <t>Everest Network</t>
  </si>
  <si>
    <t>Skyler Smith</t>
  </si>
  <si>
    <t>Skyler Rodriguez</t>
  </si>
  <si>
    <t>Aspire Collective</t>
  </si>
  <si>
    <t>Kendall Smith</t>
  </si>
  <si>
    <t>Chris Davis</t>
  </si>
  <si>
    <t>Blake Johnson</t>
  </si>
  <si>
    <t>Vision Associates</t>
  </si>
  <si>
    <t>Riley Jones</t>
  </si>
  <si>
    <t>Taylor Martinez</t>
  </si>
  <si>
    <t>Nexus Group</t>
  </si>
  <si>
    <t>Taylor Miller</t>
  </si>
  <si>
    <t>Alex Rodriguez</t>
  </si>
  <si>
    <t>Devon Brown</t>
  </si>
  <si>
    <t>Cameron Smith</t>
  </si>
  <si>
    <t>Jordan Garcia</t>
  </si>
  <si>
    <t>Quinn Martinez</t>
  </si>
  <si>
    <t>Synergy Solutions</t>
  </si>
  <si>
    <t>Sam Johnson</t>
  </si>
  <si>
    <t>Drew Jones</t>
  </si>
  <si>
    <t>Legacy Partners</t>
  </si>
  <si>
    <t>Jordan Smith</t>
  </si>
  <si>
    <t>Peyton Garcia</t>
  </si>
  <si>
    <t>Pinnacle Advisors</t>
  </si>
  <si>
    <t>Alex Williams</t>
  </si>
  <si>
    <t>Quinn Johnson</t>
  </si>
  <si>
    <t>Reese Miller</t>
  </si>
  <si>
    <t>Jordan Martinez</t>
  </si>
  <si>
    <t>Kendall Martinez</t>
  </si>
  <si>
    <t>Quinn Davis</t>
  </si>
  <si>
    <t>Riley Smith</t>
  </si>
  <si>
    <t>Quinn Smith</t>
  </si>
  <si>
    <t>Skyler Miller</t>
  </si>
  <si>
    <t>Summit Group</t>
  </si>
  <si>
    <t>Blake Garcia</t>
  </si>
  <si>
    <t>Drew Davis</t>
  </si>
  <si>
    <t>Riley Brown</t>
  </si>
  <si>
    <t>Kendall Miller</t>
  </si>
  <si>
    <t>Taylor Rodriguez</t>
  </si>
  <si>
    <t>Skyler Johnson</t>
  </si>
  <si>
    <t>Cameron Martinez</t>
  </si>
  <si>
    <t>Logan Davis</t>
  </si>
  <si>
    <t>Taylor Garcia</t>
  </si>
  <si>
    <t>Sam Martinez</t>
  </si>
  <si>
    <t>Momentum Agency</t>
  </si>
  <si>
    <t>Casey Jones</t>
  </si>
  <si>
    <t>Kendall Johnson</t>
  </si>
  <si>
    <t>Jordan Davis</t>
  </si>
  <si>
    <t>Casey Garcia</t>
  </si>
  <si>
    <t>Harmony Financial</t>
  </si>
  <si>
    <t>Morgan Smith</t>
  </si>
  <si>
    <t>Morgan Miller</t>
  </si>
  <si>
    <t>Peyton Rodriguez</t>
  </si>
  <si>
    <t>Taylor Williams</t>
  </si>
  <si>
    <t>Reese Garcia</t>
  </si>
  <si>
    <t>Casey Williams</t>
  </si>
  <si>
    <t>Skyler Jones</t>
  </si>
  <si>
    <t>Sam Davis</t>
  </si>
  <si>
    <t>Logan Brown</t>
  </si>
  <si>
    <t>Drew Williams</t>
  </si>
  <si>
    <t>Avery Garcia</t>
  </si>
  <si>
    <t>Skyler Williams</t>
  </si>
  <si>
    <t>Jamie Martinez</t>
  </si>
  <si>
    <t>Avery Jones</t>
  </si>
  <si>
    <t>Reese Davis</t>
  </si>
  <si>
    <t>Chris Williams</t>
  </si>
  <si>
    <t>Drew Brown</t>
  </si>
  <si>
    <t>Peyton Williams</t>
  </si>
  <si>
    <t>Reese Jones</t>
  </si>
  <si>
    <t>Casey Smith</t>
  </si>
  <si>
    <t>Riley Martinez</t>
  </si>
  <si>
    <t>Sam Smith</t>
  </si>
  <si>
    <t>Blake Miller</t>
  </si>
  <si>
    <t>Cameron Davis</t>
  </si>
  <si>
    <t>Peyton Miller</t>
  </si>
  <si>
    <t>Devon Smith</t>
  </si>
  <si>
    <t>Morgan Brown</t>
  </si>
  <si>
    <t>Taylor Johnson</t>
  </si>
  <si>
    <t>Taylor Brown</t>
  </si>
  <si>
    <t>Logan Rodriguez</t>
  </si>
  <si>
    <t>Sam Williams</t>
  </si>
  <si>
    <t>Quinn Garcia</t>
  </si>
  <si>
    <t>Riley Johnson</t>
  </si>
  <si>
    <t>Reese Brown</t>
  </si>
  <si>
    <t>Kendall Williams</t>
  </si>
  <si>
    <t>Blake Jones</t>
  </si>
  <si>
    <t>Cameron Miller</t>
  </si>
  <si>
    <t>Skyler Garcia</t>
  </si>
  <si>
    <t>Blake Davis</t>
  </si>
  <si>
    <t>Alex Smith</t>
  </si>
  <si>
    <t>Avery Smith</t>
  </si>
  <si>
    <t>Quinn Rodriguez</t>
  </si>
  <si>
    <t>Jamie Rodriguez</t>
  </si>
  <si>
    <t>Kendall Garcia</t>
  </si>
  <si>
    <t>Jordan Miller</t>
  </si>
  <si>
    <t>Morgan Johnson</t>
  </si>
  <si>
    <t>Riley Williams</t>
  </si>
  <si>
    <t>Quinn Miller</t>
  </si>
  <si>
    <t>Morgan Martinez</t>
  </si>
  <si>
    <t>Avery Rodriguez</t>
  </si>
  <si>
    <t>Cameron Jones</t>
  </si>
  <si>
    <t>Taylor Jones</t>
  </si>
  <si>
    <t>Peyton Johnson</t>
  </si>
  <si>
    <t>Quinn Jones</t>
  </si>
  <si>
    <t>Peyton Brown</t>
  </si>
  <si>
    <t>Jamie Johnson</t>
  </si>
  <si>
    <t>Sam Rodriguez</t>
  </si>
  <si>
    <t>Avery Brown</t>
  </si>
  <si>
    <t>Cameron Williams</t>
  </si>
  <si>
    <t>Alex Jones</t>
  </si>
  <si>
    <t>Chris Miller</t>
  </si>
  <si>
    <t>Logan Smith</t>
  </si>
  <si>
    <t>Casey Miller</t>
  </si>
  <si>
    <t>Blake Brown</t>
  </si>
  <si>
    <t>Riley Miller</t>
  </si>
  <si>
    <t>Jamie Miller</t>
  </si>
  <si>
    <t>Alex Garcia</t>
  </si>
  <si>
    <t>Jamie Garcia</t>
  </si>
  <si>
    <t>Devon Garcia</t>
  </si>
  <si>
    <t>Taylor Smith</t>
  </si>
  <si>
    <t>Devon Miller</t>
  </si>
  <si>
    <t>Cameron Garcia</t>
  </si>
  <si>
    <t>Cameron Johnson</t>
  </si>
  <si>
    <t>Casey Rodriguez</t>
  </si>
  <si>
    <t>Reese Smith</t>
  </si>
  <si>
    <t>Casey Martinez</t>
  </si>
  <si>
    <t>Jordan Rodriguez</t>
  </si>
  <si>
    <t>Jordan Johnson</t>
  </si>
  <si>
    <t>Agent ID</t>
  </si>
  <si>
    <t>Agent-ID-659</t>
  </si>
  <si>
    <t>Agent-ID-529</t>
  </si>
  <si>
    <t>Agent-ID-572</t>
  </si>
  <si>
    <t>Agent-ID-886</t>
  </si>
  <si>
    <t>Agent-ID-622</t>
  </si>
  <si>
    <t>Agent-ID-781</t>
  </si>
  <si>
    <t>Agent-ID-368</t>
  </si>
  <si>
    <t>Agent-ID-535</t>
  </si>
  <si>
    <t>Agent-ID-445</t>
  </si>
  <si>
    <t>Agent-ID-976</t>
  </si>
  <si>
    <t>Agent-ID-764</t>
  </si>
  <si>
    <t>Agent-ID-520</t>
  </si>
  <si>
    <t>Agent-ID-410</t>
  </si>
  <si>
    <t>Agent-ID-370</t>
  </si>
  <si>
    <t>Agent-ID-308</t>
  </si>
  <si>
    <t>Agent-ID-968</t>
  </si>
  <si>
    <t>Agent-ID-393</t>
  </si>
  <si>
    <t>Agent-ID-727</t>
  </si>
  <si>
    <t>Agent-ID-658</t>
  </si>
  <si>
    <t>Agent-ID-922</t>
  </si>
  <si>
    <t>Agent-ID-213</t>
  </si>
  <si>
    <t>Agent-ID-664</t>
  </si>
  <si>
    <t>Agent-ID-597</t>
  </si>
  <si>
    <t>Agent-ID-233</t>
  </si>
  <si>
    <t>Agent-ID-446</t>
  </si>
  <si>
    <t>Agent-ID-695</t>
  </si>
  <si>
    <t>Agent-ID-657</t>
  </si>
  <si>
    <t>Agent-ID-639</t>
  </si>
  <si>
    <t>Agent-ID-265</t>
  </si>
  <si>
    <t>Agent-ID-202</t>
  </si>
  <si>
    <t>Agent-ID-306</t>
  </si>
  <si>
    <t>Agent-ID-453</t>
  </si>
  <si>
    <t>Agent-ID-196</t>
  </si>
  <si>
    <t>Agent-ID-768</t>
  </si>
  <si>
    <t>Agent-ID-802</t>
  </si>
  <si>
    <t>Agent-ID-851</t>
  </si>
  <si>
    <t>Agent-ID-277</t>
  </si>
  <si>
    <t>Agent-ID-676</t>
  </si>
  <si>
    <t>Agent-ID-825</t>
  </si>
  <si>
    <t>Agent-ID-172</t>
  </si>
  <si>
    <t>Agent-ID-766</t>
  </si>
  <si>
    <t>Agent-ID-776</t>
  </si>
  <si>
    <t>Agent-ID-969</t>
  </si>
  <si>
    <t>Agent-ID-206</t>
  </si>
  <si>
    <t>Agent-ID-652</t>
  </si>
  <si>
    <t>Agent-ID-311</t>
  </si>
  <si>
    <t>Agent-ID-395</t>
  </si>
  <si>
    <t>Agent-ID-647</t>
  </si>
  <si>
    <t>Agent-ID-555</t>
  </si>
  <si>
    <t>Agent-ID-339</t>
  </si>
  <si>
    <t>Agent-ID-491</t>
  </si>
  <si>
    <t>Agent-ID-260</t>
  </si>
  <si>
    <t>Agent-ID-297</t>
  </si>
  <si>
    <t>Agent-ID-799</t>
  </si>
  <si>
    <t>Agent-ID-315</t>
  </si>
  <si>
    <t>Agent-ID-809</t>
  </si>
  <si>
    <t>Agent-ID-634</t>
  </si>
  <si>
    <t>Agent-ID-254</t>
  </si>
  <si>
    <t>Agent-ID-770</t>
  </si>
  <si>
    <t>Agent-ID-898</t>
  </si>
  <si>
    <t>Agent-ID-261</t>
  </si>
  <si>
    <t>Agent-ID-124</t>
  </si>
  <si>
    <t>Agent-ID-630</t>
  </si>
  <si>
    <t>Agent-ID-403</t>
  </si>
  <si>
    <t>Agent-ID-212</t>
  </si>
  <si>
    <t>Agent-ID-663</t>
  </si>
  <si>
    <t>Agent-ID-797</t>
  </si>
  <si>
    <t>Agent-ID-863</t>
  </si>
  <si>
    <t>Agent-ID-284</t>
  </si>
  <si>
    <t>Agent-ID-540</t>
  </si>
  <si>
    <t>Agent-ID-502</t>
  </si>
  <si>
    <t>Agent-ID-472</t>
  </si>
  <si>
    <t>Agent-ID-180</t>
  </si>
  <si>
    <t>Upline ID</t>
  </si>
  <si>
    <t>Upline-ID-482</t>
  </si>
  <si>
    <t>Upline-ID-323</t>
  </si>
  <si>
    <t>Upline-ID-589</t>
  </si>
  <si>
    <t>Upline-ID-159</t>
  </si>
  <si>
    <t>Upline-ID-328</t>
  </si>
  <si>
    <t>Upline-ID-939</t>
  </si>
  <si>
    <t>Upline-ID-199</t>
  </si>
  <si>
    <t>Upline-ID-805</t>
  </si>
  <si>
    <t>Upline-ID-862</t>
  </si>
  <si>
    <t>Upline-ID-108</t>
  </si>
  <si>
    <t>Upline-ID-251</t>
  </si>
  <si>
    <t>Upline-ID-828</t>
  </si>
  <si>
    <t>Upline-ID-644</t>
  </si>
  <si>
    <t>Upline-ID-924</t>
  </si>
  <si>
    <t>Upline-ID-330</t>
  </si>
  <si>
    <t>Upline-ID-132</t>
  </si>
  <si>
    <t>Upline-ID-239</t>
  </si>
  <si>
    <t>Upline-ID-590</t>
  </si>
  <si>
    <t>Upline-ID-962</t>
  </si>
  <si>
    <t>Upline-ID-876</t>
  </si>
  <si>
    <t>Upline-ID-609</t>
  </si>
  <si>
    <t>Upline-ID-211</t>
  </si>
  <si>
    <t>Upline-ID-286</t>
  </si>
  <si>
    <t>Upline-ID-277</t>
  </si>
  <si>
    <t>Upline-ID-615</t>
  </si>
  <si>
    <t>Upline-ID-429</t>
  </si>
  <si>
    <t>Upline-ID-142</t>
  </si>
  <si>
    <t>Upline-ID-920</t>
  </si>
  <si>
    <t>Upline-ID-658</t>
  </si>
  <si>
    <t>Upline-ID-109</t>
  </si>
  <si>
    <t>Upline-ID-866</t>
  </si>
  <si>
    <t>Upline-ID-299</t>
  </si>
  <si>
    <t>Upline-ID-173</t>
  </si>
  <si>
    <t>Upline-ID-560</t>
  </si>
  <si>
    <t>Upline-ID-356</t>
  </si>
  <si>
    <t>Upline-ID-150</t>
  </si>
  <si>
    <t>Upline-ID-733</t>
  </si>
  <si>
    <t>Upline-ID-184</t>
  </si>
  <si>
    <t>Upline-ID-448</t>
  </si>
  <si>
    <t>Upline-ID-718</t>
  </si>
  <si>
    <t>Upline-ID-114</t>
  </si>
  <si>
    <t>Upline-ID-869</t>
  </si>
  <si>
    <t>Upline-ID-966</t>
  </si>
  <si>
    <t>Upline-ID-518</t>
  </si>
  <si>
    <t>Upline-ID-792</t>
  </si>
  <si>
    <t>Upline-ID-549</t>
  </si>
  <si>
    <t>Upline-ID-441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</si>
</sst>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[$$]#,##0_)_%;\([$$]#,##0\)_%;_(&quot;–&quot;_)_%;_(@_)_%"/>
    <numFmt numFmtId="166" formatCode="mmm\-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10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0" xfId="1"/>
    <xf numFmtId="165" fontId="1" fillId="0" borderId="0" xfId="1" applyNumberFormat="1"/>
    <xf numFmtId="0" fontId="4" fillId="0" borderId="3" xfId="1" applyFont="1" applyBorder="1"/>
    <xf numFmtId="166" fontId="4" fillId="0" borderId="3" xfId="1" applyNumberFormat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</cellXfs>
  <cellStyles count="2">
    <cellStyle name="Normal" xfId="0" builtinId="0"/>
    <cellStyle name="Normal 2" xfId="1" xr:uid="{B54BA373-AE71-4BF6-B648-51AF9777246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ENXT_Custom24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B2890"/>
      </a:accent1>
      <a:accent2>
        <a:srgbClr val="5D2D87"/>
      </a:accent2>
      <a:accent3>
        <a:srgbClr val="2F2E7E"/>
      </a:accent3>
      <a:accent4>
        <a:srgbClr val="4178BD"/>
      </a:accent4>
      <a:accent5>
        <a:srgbClr val="04073A"/>
      </a:accent5>
      <a:accent6>
        <a:srgbClr val="D8D8D8"/>
      </a:accent6>
      <a:hlink>
        <a:srgbClr val="0066FF"/>
      </a:hlink>
      <a:folHlink>
        <a:srgbClr val="666699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B5887-7F1F-4D60-85C6-4A6C80C3A5D2}">
  <dimension ref="A1:R111"/>
  <sheetViews>
    <sheetView tabSelected="1" workbookViewId="0">
      <selection activeCell="P19" sqref="P19"/>
    </sheetView>
  </sheetViews>
  <sheetFormatPr defaultRowHeight="15" x14ac:dyDescent="0.25"/>
  <cols>
    <col min="6" max="6" width="11.140625" customWidth="1"/>
    <col min="13" max="13" width="12.5703125" customWidth="1"/>
  </cols>
  <sheetData>
    <row r="1" spans="1:18" ht="15.75" thickBot="1" x14ac:dyDescent="0.3">
      <c r="A1" s="10" t="s">
        <v>0</v>
      </c>
      <c r="B1" s="10"/>
      <c r="C1" s="10"/>
      <c r="E1" s="10" t="s">
        <v>1</v>
      </c>
      <c r="F1" s="10"/>
      <c r="G1" s="10"/>
      <c r="H1" s="10"/>
      <c r="J1" s="10" t="s">
        <v>2</v>
      </c>
      <c r="K1" s="10"/>
      <c r="L1" s="10"/>
      <c r="M1" s="10"/>
      <c r="O1" s="10" t="s">
        <v>3</v>
      </c>
      <c r="P1" s="10"/>
      <c r="Q1" s="10"/>
      <c r="R1" s="10"/>
    </row>
    <row r="2" spans="1:18" ht="30.75" thickBot="1" x14ac:dyDescent="0.3">
      <c r="A2" s="4" t="s">
        <v>4</v>
      </c>
      <c r="B2" s="4" t="s">
        <v>5</v>
      </c>
      <c r="C2" s="4" t="s">
        <v>6</v>
      </c>
      <c r="D2" s="1"/>
      <c r="E2" s="4" t="s">
        <v>4</v>
      </c>
      <c r="F2" s="4" t="s">
        <v>7</v>
      </c>
      <c r="G2" s="4" t="s">
        <v>8</v>
      </c>
      <c r="H2" s="4" t="s">
        <v>9</v>
      </c>
      <c r="I2" s="1"/>
      <c r="J2" s="4" t="s">
        <v>4</v>
      </c>
      <c r="K2" s="4" t="s">
        <v>8</v>
      </c>
      <c r="L2" s="4" t="s">
        <v>10</v>
      </c>
      <c r="M2" s="4" t="s">
        <v>11</v>
      </c>
      <c r="N2" s="1"/>
      <c r="O2" s="4" t="s">
        <v>4</v>
      </c>
      <c r="P2" s="4" t="s">
        <v>12</v>
      </c>
      <c r="Q2" s="4" t="s">
        <v>13</v>
      </c>
      <c r="R2" s="4" t="s">
        <v>14</v>
      </c>
    </row>
    <row r="3" spans="1:18" ht="15.75" thickBot="1" x14ac:dyDescent="0.3">
      <c r="A3" s="4">
        <v>1</v>
      </c>
      <c r="B3" s="4" t="s">
        <v>15</v>
      </c>
      <c r="C3" s="4">
        <v>61</v>
      </c>
      <c r="D3" s="1"/>
      <c r="E3" s="4">
        <v>1</v>
      </c>
      <c r="F3" s="5">
        <v>41123</v>
      </c>
      <c r="G3" s="4">
        <v>2</v>
      </c>
      <c r="H3" s="4">
        <v>540</v>
      </c>
      <c r="I3" s="1"/>
      <c r="J3" s="4">
        <v>1</v>
      </c>
      <c r="K3" s="4">
        <v>1</v>
      </c>
      <c r="L3" s="5">
        <v>40909</v>
      </c>
      <c r="M3" s="5">
        <v>41274</v>
      </c>
      <c r="N3" s="1"/>
      <c r="O3" s="4">
        <v>1</v>
      </c>
      <c r="P3" s="4">
        <v>2012</v>
      </c>
      <c r="Q3" s="4">
        <v>1500</v>
      </c>
      <c r="R3" s="4">
        <v>500</v>
      </c>
    </row>
    <row r="4" spans="1:18" ht="15.75" thickBot="1" x14ac:dyDescent="0.3">
      <c r="A4" s="4">
        <v>2</v>
      </c>
      <c r="B4" s="4" t="s">
        <v>16</v>
      </c>
      <c r="C4" s="4">
        <v>34</v>
      </c>
      <c r="D4" s="1"/>
      <c r="E4" s="4">
        <f>+E3+1</f>
        <v>2</v>
      </c>
      <c r="F4" s="5">
        <v>40938</v>
      </c>
      <c r="G4" s="4">
        <v>4</v>
      </c>
      <c r="H4" s="4">
        <v>1800</v>
      </c>
      <c r="I4" s="1"/>
      <c r="J4" s="4">
        <v>2</v>
      </c>
      <c r="K4" s="4">
        <v>1</v>
      </c>
      <c r="L4" s="5">
        <v>41275</v>
      </c>
      <c r="M4" s="5">
        <v>42369</v>
      </c>
      <c r="N4" s="1"/>
      <c r="O4" s="4">
        <v>2</v>
      </c>
      <c r="P4" s="4">
        <v>2012</v>
      </c>
      <c r="Q4" s="4">
        <v>3000</v>
      </c>
      <c r="R4" s="4">
        <v>1000</v>
      </c>
    </row>
    <row r="5" spans="1:18" ht="15.75" thickBot="1" x14ac:dyDescent="0.3">
      <c r="A5" s="4">
        <v>3</v>
      </c>
      <c r="B5" s="4" t="s">
        <v>17</v>
      </c>
      <c r="C5" s="4">
        <v>37</v>
      </c>
      <c r="D5" s="1"/>
      <c r="E5" s="4">
        <f t="shared" ref="E5:E68" si="0">+E4+1</f>
        <v>3</v>
      </c>
      <c r="F5" s="5">
        <v>41104</v>
      </c>
      <c r="G5" s="4">
        <v>1</v>
      </c>
      <c r="H5" s="4">
        <v>460</v>
      </c>
      <c r="I5" s="1"/>
      <c r="J5" s="4">
        <v>3</v>
      </c>
      <c r="K5" s="4">
        <v>2</v>
      </c>
      <c r="L5" s="5">
        <v>40909</v>
      </c>
      <c r="M5" s="5">
        <v>41121</v>
      </c>
      <c r="N5" s="1"/>
      <c r="O5" s="4">
        <v>3</v>
      </c>
      <c r="P5" s="4">
        <v>2012</v>
      </c>
      <c r="Q5" s="4">
        <v>7500</v>
      </c>
      <c r="R5" s="4">
        <v>1500</v>
      </c>
    </row>
    <row r="6" spans="1:18" ht="15.75" thickBot="1" x14ac:dyDescent="0.3">
      <c r="A6" s="4">
        <v>4</v>
      </c>
      <c r="B6" s="4" t="s">
        <v>18</v>
      </c>
      <c r="C6" s="4">
        <v>41</v>
      </c>
      <c r="D6" s="1"/>
      <c r="E6" s="4">
        <f t="shared" si="0"/>
        <v>4</v>
      </c>
      <c r="F6" s="5">
        <v>40937</v>
      </c>
      <c r="G6" s="4">
        <v>2</v>
      </c>
      <c r="H6" s="4">
        <v>1100</v>
      </c>
      <c r="I6" s="1"/>
      <c r="J6" s="4">
        <v>4</v>
      </c>
      <c r="K6" s="4">
        <v>2</v>
      </c>
      <c r="L6" s="5">
        <v>41275</v>
      </c>
      <c r="M6" s="5">
        <v>41395</v>
      </c>
      <c r="N6" s="1"/>
      <c r="O6" s="4">
        <v>4</v>
      </c>
      <c r="P6" s="4">
        <v>2013</v>
      </c>
      <c r="Q6" s="4">
        <v>1500</v>
      </c>
      <c r="R6" s="4">
        <v>500</v>
      </c>
    </row>
    <row r="7" spans="1:18" ht="15.75" thickBot="1" x14ac:dyDescent="0.3">
      <c r="A7" s="4">
        <v>5</v>
      </c>
      <c r="B7" s="4" t="s">
        <v>19</v>
      </c>
      <c r="C7" s="4">
        <v>57</v>
      </c>
      <c r="D7" s="1"/>
      <c r="E7" s="4">
        <f t="shared" si="0"/>
        <v>5</v>
      </c>
      <c r="F7" s="5">
        <v>41308</v>
      </c>
      <c r="G7" s="4">
        <v>6</v>
      </c>
      <c r="H7" s="4">
        <v>600</v>
      </c>
      <c r="I7" s="1"/>
      <c r="J7" s="4">
        <v>5</v>
      </c>
      <c r="K7" s="4">
        <v>3</v>
      </c>
      <c r="L7" s="5">
        <v>40909</v>
      </c>
      <c r="M7" s="5">
        <v>42369</v>
      </c>
      <c r="N7" s="1"/>
      <c r="O7" s="4">
        <v>5</v>
      </c>
      <c r="P7" s="4">
        <v>2013</v>
      </c>
      <c r="Q7" s="4">
        <v>2000</v>
      </c>
      <c r="R7" s="4">
        <v>1000</v>
      </c>
    </row>
    <row r="8" spans="1:18" ht="15.75" thickBot="1" x14ac:dyDescent="0.3">
      <c r="A8" s="4">
        <v>6</v>
      </c>
      <c r="B8" s="4" t="s">
        <v>20</v>
      </c>
      <c r="C8" s="4">
        <v>38</v>
      </c>
      <c r="D8" s="1"/>
      <c r="E8" s="4">
        <f t="shared" si="0"/>
        <v>6</v>
      </c>
      <c r="F8" s="5">
        <v>41335</v>
      </c>
      <c r="G8" s="4">
        <v>4</v>
      </c>
      <c r="H8" s="4">
        <v>1250</v>
      </c>
      <c r="I8" s="1"/>
      <c r="J8" s="4">
        <v>6</v>
      </c>
      <c r="K8" s="4">
        <v>4</v>
      </c>
      <c r="L8" s="5">
        <v>40909</v>
      </c>
      <c r="M8" s="5">
        <v>41274</v>
      </c>
      <c r="N8" s="1"/>
      <c r="O8" s="4">
        <v>5</v>
      </c>
      <c r="P8" s="4">
        <v>2013</v>
      </c>
      <c r="Q8" s="4">
        <v>5500</v>
      </c>
      <c r="R8" s="4">
        <v>1500</v>
      </c>
    </row>
    <row r="9" spans="1:18" ht="15.75" thickBot="1" x14ac:dyDescent="0.3">
      <c r="A9" s="1"/>
      <c r="B9" s="1"/>
      <c r="C9" s="1"/>
      <c r="D9" s="1"/>
      <c r="E9" s="4">
        <f t="shared" si="0"/>
        <v>7</v>
      </c>
      <c r="F9" s="5">
        <v>41035</v>
      </c>
      <c r="G9" s="4">
        <v>4</v>
      </c>
      <c r="H9" s="4">
        <v>150</v>
      </c>
      <c r="I9" s="1"/>
      <c r="J9" s="4">
        <v>7</v>
      </c>
      <c r="K9" s="4">
        <v>5</v>
      </c>
      <c r="L9" s="5">
        <v>41275</v>
      </c>
      <c r="M9" s="5">
        <v>42369</v>
      </c>
      <c r="N9" s="1"/>
      <c r="O9" s="1"/>
      <c r="P9" s="1"/>
      <c r="Q9" s="1"/>
      <c r="R9" s="1"/>
    </row>
    <row r="10" spans="1:18" ht="15.75" thickBot="1" x14ac:dyDescent="0.3">
      <c r="A10" s="1"/>
      <c r="B10" s="1"/>
      <c r="C10" s="1"/>
      <c r="D10" s="1"/>
      <c r="E10" s="4">
        <f t="shared" si="0"/>
        <v>8</v>
      </c>
      <c r="F10" s="5">
        <v>41365</v>
      </c>
      <c r="G10" s="4">
        <v>1</v>
      </c>
      <c r="H10" s="4">
        <v>1000</v>
      </c>
      <c r="I10" s="1"/>
      <c r="J10" s="4">
        <v>8</v>
      </c>
      <c r="K10" s="4">
        <v>6</v>
      </c>
      <c r="L10" s="5">
        <v>40909</v>
      </c>
      <c r="M10" s="5">
        <v>42369</v>
      </c>
      <c r="N10" s="1"/>
      <c r="O10" s="1"/>
      <c r="P10" s="1"/>
      <c r="Q10" s="1"/>
      <c r="R10" s="1"/>
    </row>
    <row r="11" spans="1:18" ht="15.75" thickBot="1" x14ac:dyDescent="0.3">
      <c r="A11" s="1"/>
      <c r="B11" s="1"/>
      <c r="C11" s="1"/>
      <c r="D11" s="1"/>
      <c r="E11" s="4">
        <f t="shared" si="0"/>
        <v>9</v>
      </c>
      <c r="F11" s="5">
        <v>41338</v>
      </c>
      <c r="G11" s="4">
        <v>2</v>
      </c>
      <c r="H11" s="4">
        <v>950</v>
      </c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.75" thickBot="1" x14ac:dyDescent="0.3">
      <c r="E12" s="4">
        <f t="shared" si="0"/>
        <v>10</v>
      </c>
      <c r="F12" s="5">
        <v>42303</v>
      </c>
      <c r="G12" s="4">
        <v>1</v>
      </c>
      <c r="H12" s="4">
        <v>1000</v>
      </c>
    </row>
    <row r="13" spans="1:18" ht="15.75" thickBot="1" x14ac:dyDescent="0.3">
      <c r="E13" s="4">
        <f t="shared" si="0"/>
        <v>11</v>
      </c>
      <c r="F13" s="5">
        <v>42333</v>
      </c>
      <c r="G13" s="4">
        <v>3</v>
      </c>
      <c r="H13" s="4">
        <v>1830</v>
      </c>
    </row>
    <row r="14" spans="1:18" ht="15.75" thickBot="1" x14ac:dyDescent="0.3">
      <c r="E14" s="4">
        <f t="shared" si="0"/>
        <v>12</v>
      </c>
      <c r="F14" s="5">
        <v>41048</v>
      </c>
      <c r="G14" s="4">
        <v>3</v>
      </c>
      <c r="H14" s="4">
        <v>580</v>
      </c>
    </row>
    <row r="15" spans="1:18" ht="15.75" thickBot="1" x14ac:dyDescent="0.3">
      <c r="E15" s="4">
        <f t="shared" si="0"/>
        <v>13</v>
      </c>
      <c r="F15" s="5">
        <v>41243</v>
      </c>
      <c r="G15" s="4">
        <v>4</v>
      </c>
      <c r="H15" s="4">
        <v>1500</v>
      </c>
    </row>
    <row r="16" spans="1:18" ht="15.75" thickBot="1" x14ac:dyDescent="0.3">
      <c r="A16" s="2"/>
      <c r="E16" s="4">
        <f t="shared" si="0"/>
        <v>14</v>
      </c>
      <c r="F16" s="5">
        <v>42065</v>
      </c>
      <c r="G16" s="4">
        <v>1</v>
      </c>
      <c r="H16" s="4">
        <v>2080</v>
      </c>
    </row>
    <row r="17" spans="1:8" ht="15.75" thickBot="1" x14ac:dyDescent="0.3">
      <c r="A17" s="3"/>
      <c r="E17" s="4">
        <f t="shared" si="0"/>
        <v>15</v>
      </c>
      <c r="F17" s="5">
        <v>41761</v>
      </c>
      <c r="G17" s="4">
        <v>2</v>
      </c>
      <c r="H17" s="4">
        <v>270</v>
      </c>
    </row>
    <row r="18" spans="1:8" ht="15.75" thickBot="1" x14ac:dyDescent="0.3">
      <c r="E18" s="4">
        <f t="shared" si="0"/>
        <v>16</v>
      </c>
      <c r="F18" s="5">
        <v>42228</v>
      </c>
      <c r="G18" s="4">
        <v>1</v>
      </c>
      <c r="H18" s="4">
        <v>1360</v>
      </c>
    </row>
    <row r="19" spans="1:8" ht="15.75" thickBot="1" x14ac:dyDescent="0.3">
      <c r="E19" s="4">
        <f t="shared" si="0"/>
        <v>17</v>
      </c>
      <c r="F19" s="5">
        <v>41597</v>
      </c>
      <c r="G19" s="4">
        <v>4</v>
      </c>
      <c r="H19" s="4">
        <v>2360</v>
      </c>
    </row>
    <row r="20" spans="1:8" ht="15.75" thickBot="1" x14ac:dyDescent="0.3">
      <c r="A20" s="2"/>
      <c r="E20" s="4">
        <f t="shared" si="0"/>
        <v>18</v>
      </c>
      <c r="F20" s="5">
        <v>41694</v>
      </c>
      <c r="G20" s="4">
        <v>4</v>
      </c>
      <c r="H20" s="4">
        <v>2320</v>
      </c>
    </row>
    <row r="21" spans="1:8" ht="15.75" thickBot="1" x14ac:dyDescent="0.3">
      <c r="A21" s="3"/>
      <c r="E21" s="4">
        <f t="shared" si="0"/>
        <v>19</v>
      </c>
      <c r="F21" s="5">
        <v>41442</v>
      </c>
      <c r="G21" s="4">
        <v>3</v>
      </c>
      <c r="H21" s="4">
        <v>1340</v>
      </c>
    </row>
    <row r="22" spans="1:8" ht="15.75" thickBot="1" x14ac:dyDescent="0.3">
      <c r="E22" s="4">
        <f t="shared" si="0"/>
        <v>20</v>
      </c>
      <c r="F22" s="5">
        <v>41589</v>
      </c>
      <c r="G22" s="4">
        <v>1</v>
      </c>
      <c r="H22" s="4">
        <v>2300</v>
      </c>
    </row>
    <row r="23" spans="1:8" ht="15.75" thickBot="1" x14ac:dyDescent="0.3">
      <c r="E23" s="4">
        <f t="shared" si="0"/>
        <v>21</v>
      </c>
      <c r="F23" s="5">
        <v>42266</v>
      </c>
      <c r="G23" s="4">
        <v>1</v>
      </c>
      <c r="H23" s="4">
        <v>160</v>
      </c>
    </row>
    <row r="24" spans="1:8" ht="15.75" thickBot="1" x14ac:dyDescent="0.3">
      <c r="E24" s="4">
        <f t="shared" si="0"/>
        <v>22</v>
      </c>
      <c r="F24" s="5">
        <v>41726</v>
      </c>
      <c r="G24" s="4">
        <v>6</v>
      </c>
      <c r="H24" s="4">
        <v>1370</v>
      </c>
    </row>
    <row r="25" spans="1:8" ht="15.75" thickBot="1" x14ac:dyDescent="0.3">
      <c r="E25" s="4">
        <f t="shared" si="0"/>
        <v>23</v>
      </c>
      <c r="F25" s="5">
        <v>41316</v>
      </c>
      <c r="G25" s="4">
        <v>4</v>
      </c>
      <c r="H25" s="4">
        <v>370</v>
      </c>
    </row>
    <row r="26" spans="1:8" ht="15.75" thickBot="1" x14ac:dyDescent="0.3">
      <c r="E26" s="4">
        <f t="shared" si="0"/>
        <v>24</v>
      </c>
      <c r="F26" s="5">
        <v>41874</v>
      </c>
      <c r="G26" s="4">
        <v>1</v>
      </c>
      <c r="H26" s="4">
        <v>1760</v>
      </c>
    </row>
    <row r="27" spans="1:8" ht="15.75" thickBot="1" x14ac:dyDescent="0.3">
      <c r="E27" s="4">
        <f t="shared" si="0"/>
        <v>25</v>
      </c>
      <c r="F27" s="5">
        <v>40967</v>
      </c>
      <c r="G27" s="4">
        <v>6</v>
      </c>
      <c r="H27" s="4">
        <v>840</v>
      </c>
    </row>
    <row r="28" spans="1:8" ht="15.75" thickBot="1" x14ac:dyDescent="0.3">
      <c r="E28" s="4">
        <f t="shared" si="0"/>
        <v>26</v>
      </c>
      <c r="F28" s="5">
        <v>41525</v>
      </c>
      <c r="G28" s="4">
        <v>4</v>
      </c>
      <c r="H28" s="4">
        <v>1840</v>
      </c>
    </row>
    <row r="29" spans="1:8" ht="15.75" thickBot="1" x14ac:dyDescent="0.3">
      <c r="E29" s="4">
        <f t="shared" si="0"/>
        <v>27</v>
      </c>
      <c r="F29" s="5">
        <v>41914</v>
      </c>
      <c r="G29" s="4">
        <v>5</v>
      </c>
      <c r="H29" s="4">
        <v>2120</v>
      </c>
    </row>
    <row r="30" spans="1:8" ht="15.75" thickBot="1" x14ac:dyDescent="0.3">
      <c r="E30" s="4">
        <f t="shared" si="0"/>
        <v>28</v>
      </c>
      <c r="F30" s="5">
        <v>42091</v>
      </c>
      <c r="G30" s="4">
        <v>3</v>
      </c>
      <c r="H30" s="4">
        <v>1540</v>
      </c>
    </row>
    <row r="31" spans="1:8" ht="15.75" thickBot="1" x14ac:dyDescent="0.3">
      <c r="E31" s="4">
        <f t="shared" si="0"/>
        <v>29</v>
      </c>
      <c r="F31" s="5">
        <v>42327</v>
      </c>
      <c r="G31" s="4">
        <v>6</v>
      </c>
      <c r="H31" s="4">
        <v>430</v>
      </c>
    </row>
    <row r="32" spans="1:8" ht="15.75" thickBot="1" x14ac:dyDescent="0.3">
      <c r="E32" s="4">
        <f t="shared" si="0"/>
        <v>30</v>
      </c>
      <c r="F32" s="5">
        <v>41094</v>
      </c>
      <c r="G32" s="4">
        <v>4</v>
      </c>
      <c r="H32" s="4">
        <v>1780</v>
      </c>
    </row>
    <row r="33" spans="5:8" ht="15.75" thickBot="1" x14ac:dyDescent="0.3">
      <c r="E33" s="4">
        <f t="shared" si="0"/>
        <v>31</v>
      </c>
      <c r="F33" s="5">
        <v>41022</v>
      </c>
      <c r="G33" s="4">
        <v>5</v>
      </c>
      <c r="H33" s="4">
        <v>2310</v>
      </c>
    </row>
    <row r="34" spans="5:8" ht="15.75" thickBot="1" x14ac:dyDescent="0.3">
      <c r="E34" s="4">
        <f t="shared" si="0"/>
        <v>32</v>
      </c>
      <c r="F34" s="5">
        <v>41932</v>
      </c>
      <c r="G34" s="4">
        <v>6</v>
      </c>
      <c r="H34" s="4">
        <v>920</v>
      </c>
    </row>
    <row r="35" spans="5:8" ht="15.75" thickBot="1" x14ac:dyDescent="0.3">
      <c r="E35" s="4">
        <f t="shared" si="0"/>
        <v>33</v>
      </c>
      <c r="F35" s="5">
        <v>42146</v>
      </c>
      <c r="G35" s="4">
        <v>3</v>
      </c>
      <c r="H35" s="4">
        <v>140</v>
      </c>
    </row>
    <row r="36" spans="5:8" ht="15.75" thickBot="1" x14ac:dyDescent="0.3">
      <c r="E36" s="4">
        <f t="shared" si="0"/>
        <v>34</v>
      </c>
      <c r="F36" s="5">
        <v>41306</v>
      </c>
      <c r="G36" s="4">
        <v>1</v>
      </c>
      <c r="H36" s="4">
        <v>2340</v>
      </c>
    </row>
    <row r="37" spans="5:8" ht="15.75" thickBot="1" x14ac:dyDescent="0.3">
      <c r="E37" s="4">
        <f t="shared" si="0"/>
        <v>35</v>
      </c>
      <c r="F37" s="5">
        <v>41649</v>
      </c>
      <c r="G37" s="4">
        <v>5</v>
      </c>
      <c r="H37" s="4">
        <v>290</v>
      </c>
    </row>
    <row r="38" spans="5:8" ht="15.75" thickBot="1" x14ac:dyDescent="0.3">
      <c r="E38" s="4">
        <f t="shared" si="0"/>
        <v>36</v>
      </c>
      <c r="F38" s="5">
        <v>41706</v>
      </c>
      <c r="G38" s="4">
        <v>4</v>
      </c>
      <c r="H38" s="4">
        <v>1930</v>
      </c>
    </row>
    <row r="39" spans="5:8" ht="15.75" thickBot="1" x14ac:dyDescent="0.3">
      <c r="E39" s="4">
        <f t="shared" si="0"/>
        <v>37</v>
      </c>
      <c r="F39" s="5">
        <v>42016</v>
      </c>
      <c r="G39" s="4">
        <v>5</v>
      </c>
      <c r="H39" s="4">
        <v>700</v>
      </c>
    </row>
    <row r="40" spans="5:8" ht="15.75" thickBot="1" x14ac:dyDescent="0.3">
      <c r="E40" s="4">
        <f t="shared" si="0"/>
        <v>38</v>
      </c>
      <c r="F40" s="5">
        <v>41073</v>
      </c>
      <c r="G40" s="4">
        <v>6</v>
      </c>
      <c r="H40" s="4">
        <v>620</v>
      </c>
    </row>
    <row r="41" spans="5:8" ht="15.75" thickBot="1" x14ac:dyDescent="0.3">
      <c r="E41" s="4">
        <f t="shared" si="0"/>
        <v>39</v>
      </c>
      <c r="F41" s="5">
        <v>41454</v>
      </c>
      <c r="G41" s="4">
        <v>1</v>
      </c>
      <c r="H41" s="4">
        <v>710</v>
      </c>
    </row>
    <row r="42" spans="5:8" ht="15.75" thickBot="1" x14ac:dyDescent="0.3">
      <c r="E42" s="4">
        <f t="shared" si="0"/>
        <v>40</v>
      </c>
      <c r="F42" s="5">
        <v>41326</v>
      </c>
      <c r="G42" s="4">
        <v>3</v>
      </c>
      <c r="H42" s="4">
        <v>1050</v>
      </c>
    </row>
    <row r="43" spans="5:8" ht="15.75" thickBot="1" x14ac:dyDescent="0.3">
      <c r="E43" s="4">
        <f t="shared" si="0"/>
        <v>41</v>
      </c>
      <c r="F43" s="5">
        <v>41635</v>
      </c>
      <c r="G43" s="4">
        <v>2</v>
      </c>
      <c r="H43" s="4">
        <v>1200</v>
      </c>
    </row>
    <row r="44" spans="5:8" ht="15.75" thickBot="1" x14ac:dyDescent="0.3">
      <c r="E44" s="4">
        <f t="shared" si="0"/>
        <v>42</v>
      </c>
      <c r="F44" s="5">
        <v>41053</v>
      </c>
      <c r="G44" s="4">
        <v>2</v>
      </c>
      <c r="H44" s="4">
        <v>1330</v>
      </c>
    </row>
    <row r="45" spans="5:8" ht="15.75" thickBot="1" x14ac:dyDescent="0.3">
      <c r="E45" s="4">
        <f t="shared" si="0"/>
        <v>43</v>
      </c>
      <c r="F45" s="5">
        <v>42135</v>
      </c>
      <c r="G45" s="4">
        <v>5</v>
      </c>
      <c r="H45" s="4">
        <v>1670</v>
      </c>
    </row>
    <row r="46" spans="5:8" ht="15.75" thickBot="1" x14ac:dyDescent="0.3">
      <c r="E46" s="4">
        <f t="shared" si="0"/>
        <v>44</v>
      </c>
      <c r="F46" s="5">
        <v>42014</v>
      </c>
      <c r="G46" s="4">
        <v>5</v>
      </c>
      <c r="H46" s="4">
        <v>430</v>
      </c>
    </row>
    <row r="47" spans="5:8" ht="15.75" thickBot="1" x14ac:dyDescent="0.3">
      <c r="E47" s="4">
        <f t="shared" si="0"/>
        <v>45</v>
      </c>
      <c r="F47" s="5">
        <v>41118</v>
      </c>
      <c r="G47" s="4">
        <v>4</v>
      </c>
      <c r="H47" s="4">
        <v>1030</v>
      </c>
    </row>
    <row r="48" spans="5:8" ht="15.75" thickBot="1" x14ac:dyDescent="0.3">
      <c r="E48" s="4">
        <f t="shared" si="0"/>
        <v>46</v>
      </c>
      <c r="F48" s="5">
        <v>42156</v>
      </c>
      <c r="G48" s="4">
        <v>6</v>
      </c>
      <c r="H48" s="4">
        <v>1180</v>
      </c>
    </row>
    <row r="49" spans="5:8" ht="15.75" thickBot="1" x14ac:dyDescent="0.3">
      <c r="E49" s="4">
        <f t="shared" si="0"/>
        <v>47</v>
      </c>
      <c r="F49" s="5">
        <v>41751</v>
      </c>
      <c r="G49" s="4">
        <v>2</v>
      </c>
      <c r="H49" s="4">
        <v>340</v>
      </c>
    </row>
    <row r="50" spans="5:8" ht="15.75" thickBot="1" x14ac:dyDescent="0.3">
      <c r="E50" s="4">
        <f t="shared" si="0"/>
        <v>48</v>
      </c>
      <c r="F50" s="5">
        <v>41359</v>
      </c>
      <c r="G50" s="4">
        <v>6</v>
      </c>
      <c r="H50" s="4">
        <v>1450</v>
      </c>
    </row>
    <row r="51" spans="5:8" ht="15.75" thickBot="1" x14ac:dyDescent="0.3">
      <c r="E51" s="4">
        <f t="shared" si="0"/>
        <v>49</v>
      </c>
      <c r="F51" s="5">
        <v>41308</v>
      </c>
      <c r="G51" s="4">
        <v>3</v>
      </c>
      <c r="H51" s="4">
        <v>2290</v>
      </c>
    </row>
    <row r="52" spans="5:8" ht="15.75" thickBot="1" x14ac:dyDescent="0.3">
      <c r="E52" s="4">
        <f t="shared" si="0"/>
        <v>50</v>
      </c>
      <c r="F52" s="5">
        <v>40912</v>
      </c>
      <c r="G52" s="4">
        <v>3</v>
      </c>
      <c r="H52" s="4">
        <v>1030</v>
      </c>
    </row>
    <row r="53" spans="5:8" ht="15.75" thickBot="1" x14ac:dyDescent="0.3">
      <c r="E53" s="4">
        <f t="shared" si="0"/>
        <v>51</v>
      </c>
      <c r="F53" s="5">
        <v>41297</v>
      </c>
      <c r="G53" s="4">
        <v>3</v>
      </c>
      <c r="H53" s="4">
        <v>1330</v>
      </c>
    </row>
    <row r="54" spans="5:8" ht="15.75" thickBot="1" x14ac:dyDescent="0.3">
      <c r="E54" s="4">
        <f t="shared" si="0"/>
        <v>52</v>
      </c>
      <c r="F54" s="5">
        <v>40950</v>
      </c>
      <c r="G54" s="4">
        <v>5</v>
      </c>
      <c r="H54" s="4">
        <v>1730</v>
      </c>
    </row>
    <row r="55" spans="5:8" ht="15.75" thickBot="1" x14ac:dyDescent="0.3">
      <c r="E55" s="4">
        <f t="shared" si="0"/>
        <v>53</v>
      </c>
      <c r="F55" s="5">
        <v>41267</v>
      </c>
      <c r="G55" s="4">
        <v>3</v>
      </c>
      <c r="H55" s="4">
        <v>200</v>
      </c>
    </row>
    <row r="56" spans="5:8" ht="15.75" thickBot="1" x14ac:dyDescent="0.3">
      <c r="E56" s="4">
        <f t="shared" si="0"/>
        <v>54</v>
      </c>
      <c r="F56" s="5">
        <v>41049</v>
      </c>
      <c r="G56" s="4">
        <v>2</v>
      </c>
      <c r="H56" s="4">
        <v>2310</v>
      </c>
    </row>
    <row r="57" spans="5:8" ht="15.75" thickBot="1" x14ac:dyDescent="0.3">
      <c r="E57" s="4">
        <f t="shared" si="0"/>
        <v>55</v>
      </c>
      <c r="F57" s="5">
        <v>41370</v>
      </c>
      <c r="G57" s="4">
        <v>4</v>
      </c>
      <c r="H57" s="4">
        <v>570</v>
      </c>
    </row>
    <row r="58" spans="5:8" ht="15.75" thickBot="1" x14ac:dyDescent="0.3">
      <c r="E58" s="4">
        <f t="shared" si="0"/>
        <v>56</v>
      </c>
      <c r="F58" s="5">
        <v>41364</v>
      </c>
      <c r="G58" s="4">
        <v>1</v>
      </c>
      <c r="H58" s="4">
        <v>1400</v>
      </c>
    </row>
    <row r="59" spans="5:8" ht="15.75" thickBot="1" x14ac:dyDescent="0.3">
      <c r="E59" s="4">
        <f t="shared" si="0"/>
        <v>57</v>
      </c>
      <c r="F59" s="5">
        <v>41153</v>
      </c>
      <c r="G59" s="4">
        <v>6</v>
      </c>
      <c r="H59" s="4">
        <v>2350</v>
      </c>
    </row>
    <row r="60" spans="5:8" ht="15.75" thickBot="1" x14ac:dyDescent="0.3">
      <c r="E60" s="4">
        <f t="shared" si="0"/>
        <v>58</v>
      </c>
      <c r="F60" s="5">
        <v>41406</v>
      </c>
      <c r="G60" s="4">
        <v>3</v>
      </c>
      <c r="H60" s="4">
        <v>2160</v>
      </c>
    </row>
    <row r="61" spans="5:8" ht="15.75" thickBot="1" x14ac:dyDescent="0.3">
      <c r="E61" s="4">
        <f t="shared" si="0"/>
        <v>59</v>
      </c>
      <c r="F61" s="5">
        <v>41362</v>
      </c>
      <c r="G61" s="4">
        <v>4</v>
      </c>
      <c r="H61" s="4">
        <v>2250</v>
      </c>
    </row>
    <row r="62" spans="5:8" ht="15.75" thickBot="1" x14ac:dyDescent="0.3">
      <c r="E62" s="4">
        <f t="shared" si="0"/>
        <v>60</v>
      </c>
      <c r="F62" s="5">
        <v>41897</v>
      </c>
      <c r="G62" s="4">
        <v>1</v>
      </c>
      <c r="H62" s="4">
        <v>1160</v>
      </c>
    </row>
    <row r="63" spans="5:8" ht="15.75" thickBot="1" x14ac:dyDescent="0.3">
      <c r="E63" s="4">
        <f t="shared" si="0"/>
        <v>61</v>
      </c>
      <c r="F63" s="5">
        <v>41293</v>
      </c>
      <c r="G63" s="4">
        <v>5</v>
      </c>
      <c r="H63" s="4">
        <v>900</v>
      </c>
    </row>
    <row r="64" spans="5:8" ht="15.75" thickBot="1" x14ac:dyDescent="0.3">
      <c r="E64" s="4">
        <f t="shared" si="0"/>
        <v>62</v>
      </c>
      <c r="F64" s="5">
        <v>42366</v>
      </c>
      <c r="G64" s="4">
        <v>4</v>
      </c>
      <c r="H64" s="4">
        <v>2470</v>
      </c>
    </row>
    <row r="65" spans="5:8" ht="15.75" thickBot="1" x14ac:dyDescent="0.3">
      <c r="E65" s="4">
        <f t="shared" si="0"/>
        <v>63</v>
      </c>
      <c r="F65" s="5">
        <v>41117</v>
      </c>
      <c r="G65" s="4">
        <v>2</v>
      </c>
      <c r="H65" s="4">
        <v>1240</v>
      </c>
    </row>
    <row r="66" spans="5:8" ht="15.75" thickBot="1" x14ac:dyDescent="0.3">
      <c r="E66" s="4">
        <f t="shared" si="0"/>
        <v>64</v>
      </c>
      <c r="F66" s="5">
        <v>41173</v>
      </c>
      <c r="G66" s="4">
        <v>5</v>
      </c>
      <c r="H66" s="4">
        <v>2030</v>
      </c>
    </row>
    <row r="67" spans="5:8" ht="15.75" thickBot="1" x14ac:dyDescent="0.3">
      <c r="E67" s="4">
        <f t="shared" si="0"/>
        <v>65</v>
      </c>
      <c r="F67" s="5">
        <v>41554</v>
      </c>
      <c r="G67" s="4">
        <v>6</v>
      </c>
      <c r="H67" s="4">
        <v>670</v>
      </c>
    </row>
    <row r="68" spans="5:8" ht="15.75" thickBot="1" x14ac:dyDescent="0.3">
      <c r="E68" s="4">
        <f t="shared" si="0"/>
        <v>66</v>
      </c>
      <c r="F68" s="5">
        <v>41566</v>
      </c>
      <c r="G68" s="4">
        <v>5</v>
      </c>
      <c r="H68" s="4">
        <v>1660</v>
      </c>
    </row>
    <row r="69" spans="5:8" ht="15.75" thickBot="1" x14ac:dyDescent="0.3">
      <c r="E69" s="4">
        <f t="shared" ref="E69:E111" si="1">+E68+1</f>
        <v>67</v>
      </c>
      <c r="F69" s="5">
        <v>42024</v>
      </c>
      <c r="G69" s="4">
        <v>5</v>
      </c>
      <c r="H69" s="4">
        <v>930</v>
      </c>
    </row>
    <row r="70" spans="5:8" ht="15.75" thickBot="1" x14ac:dyDescent="0.3">
      <c r="E70" s="4">
        <f t="shared" si="1"/>
        <v>68</v>
      </c>
      <c r="F70" s="5">
        <v>41440</v>
      </c>
      <c r="G70" s="4">
        <v>5</v>
      </c>
      <c r="H70" s="4">
        <v>1260</v>
      </c>
    </row>
    <row r="71" spans="5:8" ht="15.75" thickBot="1" x14ac:dyDescent="0.3">
      <c r="E71" s="4">
        <f t="shared" si="1"/>
        <v>69</v>
      </c>
      <c r="F71" s="5">
        <v>41213</v>
      </c>
      <c r="G71" s="4">
        <v>5</v>
      </c>
      <c r="H71" s="4">
        <v>2430</v>
      </c>
    </row>
    <row r="72" spans="5:8" ht="15.75" thickBot="1" x14ac:dyDescent="0.3">
      <c r="E72" s="4">
        <f t="shared" si="1"/>
        <v>70</v>
      </c>
      <c r="F72" s="5">
        <v>41771</v>
      </c>
      <c r="G72" s="4">
        <v>2</v>
      </c>
      <c r="H72" s="4">
        <v>2030</v>
      </c>
    </row>
    <row r="73" spans="5:8" ht="15.75" thickBot="1" x14ac:dyDescent="0.3">
      <c r="E73" s="4">
        <f t="shared" si="1"/>
        <v>71</v>
      </c>
      <c r="F73" s="5">
        <v>41507</v>
      </c>
      <c r="G73" s="4">
        <v>6</v>
      </c>
      <c r="H73" s="4">
        <v>250</v>
      </c>
    </row>
    <row r="74" spans="5:8" ht="15.75" thickBot="1" x14ac:dyDescent="0.3">
      <c r="E74" s="4">
        <f t="shared" si="1"/>
        <v>72</v>
      </c>
      <c r="F74" s="5">
        <v>41211</v>
      </c>
      <c r="G74" s="4">
        <v>1</v>
      </c>
      <c r="H74" s="4">
        <v>1020</v>
      </c>
    </row>
    <row r="75" spans="5:8" ht="15.75" thickBot="1" x14ac:dyDescent="0.3">
      <c r="E75" s="4">
        <f t="shared" si="1"/>
        <v>73</v>
      </c>
      <c r="F75" s="5">
        <v>42256</v>
      </c>
      <c r="G75" s="4">
        <v>5</v>
      </c>
      <c r="H75" s="4">
        <v>460</v>
      </c>
    </row>
    <row r="76" spans="5:8" ht="15.75" thickBot="1" x14ac:dyDescent="0.3">
      <c r="E76" s="4">
        <f t="shared" si="1"/>
        <v>74</v>
      </c>
      <c r="F76" s="5">
        <v>41488</v>
      </c>
      <c r="G76" s="4">
        <v>4</v>
      </c>
      <c r="H76" s="4">
        <v>2000</v>
      </c>
    </row>
    <row r="77" spans="5:8" ht="15.75" thickBot="1" x14ac:dyDescent="0.3">
      <c r="E77" s="4">
        <f t="shared" si="1"/>
        <v>75</v>
      </c>
      <c r="F77" s="5">
        <v>41273</v>
      </c>
      <c r="G77" s="4">
        <v>2</v>
      </c>
      <c r="H77" s="4">
        <v>1220</v>
      </c>
    </row>
    <row r="78" spans="5:8" ht="15.75" thickBot="1" x14ac:dyDescent="0.3">
      <c r="E78" s="4">
        <f t="shared" si="1"/>
        <v>76</v>
      </c>
      <c r="F78" s="5">
        <v>41683</v>
      </c>
      <c r="G78" s="4">
        <v>1</v>
      </c>
      <c r="H78" s="4">
        <v>1250</v>
      </c>
    </row>
    <row r="79" spans="5:8" ht="15.75" thickBot="1" x14ac:dyDescent="0.3">
      <c r="E79" s="4">
        <f t="shared" si="1"/>
        <v>77</v>
      </c>
      <c r="F79" s="5">
        <v>41784</v>
      </c>
      <c r="G79" s="4">
        <v>3</v>
      </c>
      <c r="H79" s="4">
        <v>1850</v>
      </c>
    </row>
    <row r="80" spans="5:8" ht="15.75" thickBot="1" x14ac:dyDescent="0.3">
      <c r="E80" s="4">
        <f t="shared" si="1"/>
        <v>78</v>
      </c>
      <c r="F80" s="5">
        <v>42140</v>
      </c>
      <c r="G80" s="4">
        <v>6</v>
      </c>
      <c r="H80" s="4">
        <v>2110</v>
      </c>
    </row>
    <row r="81" spans="5:8" ht="15.75" thickBot="1" x14ac:dyDescent="0.3">
      <c r="E81" s="4">
        <f t="shared" si="1"/>
        <v>79</v>
      </c>
      <c r="F81" s="5">
        <v>41747</v>
      </c>
      <c r="G81" s="4">
        <v>2</v>
      </c>
      <c r="H81" s="4">
        <v>2400</v>
      </c>
    </row>
    <row r="82" spans="5:8" ht="15.75" thickBot="1" x14ac:dyDescent="0.3">
      <c r="E82" s="4">
        <f t="shared" si="1"/>
        <v>80</v>
      </c>
      <c r="F82" s="5">
        <v>41944</v>
      </c>
      <c r="G82" s="4">
        <v>1</v>
      </c>
      <c r="H82" s="4">
        <v>450</v>
      </c>
    </row>
    <row r="83" spans="5:8" ht="15.75" thickBot="1" x14ac:dyDescent="0.3">
      <c r="E83" s="4">
        <f t="shared" si="1"/>
        <v>81</v>
      </c>
      <c r="F83" s="5">
        <v>41594</v>
      </c>
      <c r="G83" s="4">
        <v>6</v>
      </c>
      <c r="H83" s="4">
        <v>590</v>
      </c>
    </row>
    <row r="84" spans="5:8" ht="15.75" thickBot="1" x14ac:dyDescent="0.3">
      <c r="E84" s="4">
        <f t="shared" si="1"/>
        <v>82</v>
      </c>
      <c r="F84" s="5">
        <v>42355</v>
      </c>
      <c r="G84" s="4">
        <v>2</v>
      </c>
      <c r="H84" s="4">
        <v>320</v>
      </c>
    </row>
    <row r="85" spans="5:8" ht="15.75" thickBot="1" x14ac:dyDescent="0.3">
      <c r="E85" s="4">
        <f t="shared" si="1"/>
        <v>83</v>
      </c>
      <c r="F85" s="5">
        <v>41514</v>
      </c>
      <c r="G85" s="4">
        <v>1</v>
      </c>
      <c r="H85" s="4">
        <v>560</v>
      </c>
    </row>
    <row r="86" spans="5:8" ht="15.75" thickBot="1" x14ac:dyDescent="0.3">
      <c r="E86" s="4">
        <f t="shared" si="1"/>
        <v>84</v>
      </c>
      <c r="F86" s="5">
        <v>41981</v>
      </c>
      <c r="G86" s="4">
        <v>4</v>
      </c>
      <c r="H86" s="4">
        <v>1890</v>
      </c>
    </row>
    <row r="87" spans="5:8" ht="15.75" thickBot="1" x14ac:dyDescent="0.3">
      <c r="E87" s="4">
        <f t="shared" si="1"/>
        <v>85</v>
      </c>
      <c r="F87" s="5">
        <v>42306</v>
      </c>
      <c r="G87" s="4">
        <v>1</v>
      </c>
      <c r="H87" s="4">
        <v>1260</v>
      </c>
    </row>
    <row r="88" spans="5:8" ht="15.75" thickBot="1" x14ac:dyDescent="0.3">
      <c r="E88" s="4">
        <f t="shared" si="1"/>
        <v>86</v>
      </c>
      <c r="F88" s="5">
        <v>41096</v>
      </c>
      <c r="G88" s="4">
        <v>4</v>
      </c>
      <c r="H88" s="4">
        <v>220</v>
      </c>
    </row>
    <row r="89" spans="5:8" ht="15.75" thickBot="1" x14ac:dyDescent="0.3">
      <c r="E89" s="4">
        <f t="shared" si="1"/>
        <v>87</v>
      </c>
      <c r="F89" s="5">
        <v>41313</v>
      </c>
      <c r="G89" s="4">
        <v>4</v>
      </c>
      <c r="H89" s="4">
        <v>380</v>
      </c>
    </row>
    <row r="90" spans="5:8" ht="15.75" thickBot="1" x14ac:dyDescent="0.3">
      <c r="E90" s="4">
        <f t="shared" si="1"/>
        <v>88</v>
      </c>
      <c r="F90" s="5">
        <v>42365</v>
      </c>
      <c r="G90" s="4">
        <v>4</v>
      </c>
      <c r="H90" s="4">
        <v>270</v>
      </c>
    </row>
    <row r="91" spans="5:8" ht="15.75" thickBot="1" x14ac:dyDescent="0.3">
      <c r="E91" s="4">
        <f t="shared" si="1"/>
        <v>89</v>
      </c>
      <c r="F91" s="5">
        <v>41104</v>
      </c>
      <c r="G91" s="4">
        <v>2</v>
      </c>
      <c r="H91" s="4">
        <v>2380</v>
      </c>
    </row>
    <row r="92" spans="5:8" ht="15.75" thickBot="1" x14ac:dyDescent="0.3">
      <c r="E92" s="4">
        <f t="shared" si="1"/>
        <v>90</v>
      </c>
      <c r="F92" s="5">
        <v>40983</v>
      </c>
      <c r="G92" s="4">
        <v>3</v>
      </c>
      <c r="H92" s="4">
        <v>560</v>
      </c>
    </row>
    <row r="93" spans="5:8" ht="15.75" thickBot="1" x14ac:dyDescent="0.3">
      <c r="E93" s="4">
        <f t="shared" si="1"/>
        <v>91</v>
      </c>
      <c r="F93" s="5">
        <v>42013</v>
      </c>
      <c r="G93" s="4">
        <v>6</v>
      </c>
      <c r="H93" s="4">
        <v>430</v>
      </c>
    </row>
    <row r="94" spans="5:8" ht="15.75" thickBot="1" x14ac:dyDescent="0.3">
      <c r="E94" s="4">
        <f t="shared" si="1"/>
        <v>92</v>
      </c>
      <c r="F94" s="5">
        <v>41927</v>
      </c>
      <c r="G94" s="4">
        <v>2</v>
      </c>
      <c r="H94" s="4">
        <v>240</v>
      </c>
    </row>
    <row r="95" spans="5:8" ht="15.75" thickBot="1" x14ac:dyDescent="0.3">
      <c r="E95" s="4">
        <f t="shared" si="1"/>
        <v>93</v>
      </c>
      <c r="F95" s="5">
        <v>41891</v>
      </c>
      <c r="G95" s="4">
        <v>3</v>
      </c>
      <c r="H95" s="4">
        <v>1780</v>
      </c>
    </row>
    <row r="96" spans="5:8" ht="15.75" thickBot="1" x14ac:dyDescent="0.3">
      <c r="E96" s="4">
        <f t="shared" si="1"/>
        <v>94</v>
      </c>
      <c r="F96" s="5">
        <v>42274</v>
      </c>
      <c r="G96" s="4">
        <v>3</v>
      </c>
      <c r="H96" s="4">
        <v>1560</v>
      </c>
    </row>
    <row r="97" spans="5:8" ht="15.75" thickBot="1" x14ac:dyDescent="0.3">
      <c r="E97" s="4">
        <f t="shared" si="1"/>
        <v>95</v>
      </c>
      <c r="F97" s="5">
        <v>42271</v>
      </c>
      <c r="G97" s="4">
        <v>1</v>
      </c>
      <c r="H97" s="4">
        <v>1610</v>
      </c>
    </row>
    <row r="98" spans="5:8" ht="15.75" thickBot="1" x14ac:dyDescent="0.3">
      <c r="E98" s="4">
        <f t="shared" si="1"/>
        <v>96</v>
      </c>
      <c r="F98" s="5">
        <v>41897</v>
      </c>
      <c r="G98" s="4">
        <v>3</v>
      </c>
      <c r="H98" s="4">
        <v>480</v>
      </c>
    </row>
    <row r="99" spans="5:8" ht="15.75" thickBot="1" x14ac:dyDescent="0.3">
      <c r="E99" s="4">
        <f t="shared" si="1"/>
        <v>97</v>
      </c>
      <c r="F99" s="5">
        <v>42052</v>
      </c>
      <c r="G99" s="4">
        <v>1</v>
      </c>
      <c r="H99" s="4">
        <v>1880</v>
      </c>
    </row>
    <row r="100" spans="5:8" ht="15.75" thickBot="1" x14ac:dyDescent="0.3">
      <c r="E100" s="4">
        <f t="shared" si="1"/>
        <v>98</v>
      </c>
      <c r="F100" s="5">
        <v>42041</v>
      </c>
      <c r="G100" s="4">
        <v>3</v>
      </c>
      <c r="H100" s="4">
        <v>650</v>
      </c>
    </row>
    <row r="101" spans="5:8" ht="15.75" thickBot="1" x14ac:dyDescent="0.3">
      <c r="E101" s="4">
        <f t="shared" si="1"/>
        <v>99</v>
      </c>
      <c r="F101" s="5">
        <v>41980</v>
      </c>
      <c r="G101" s="4">
        <v>1</v>
      </c>
      <c r="H101" s="4">
        <v>2500</v>
      </c>
    </row>
    <row r="102" spans="5:8" ht="15.75" thickBot="1" x14ac:dyDescent="0.3">
      <c r="E102" s="4">
        <f t="shared" si="1"/>
        <v>100</v>
      </c>
      <c r="F102" s="5">
        <v>41833</v>
      </c>
      <c r="G102" s="4">
        <v>6</v>
      </c>
      <c r="H102" s="4">
        <v>2160</v>
      </c>
    </row>
    <row r="103" spans="5:8" ht="15.75" thickBot="1" x14ac:dyDescent="0.3">
      <c r="E103" s="4">
        <f t="shared" si="1"/>
        <v>101</v>
      </c>
      <c r="F103" s="5">
        <v>41460</v>
      </c>
      <c r="G103" s="4">
        <v>2</v>
      </c>
      <c r="H103" s="4">
        <v>1500</v>
      </c>
    </row>
    <row r="104" spans="5:8" ht="15.75" thickBot="1" x14ac:dyDescent="0.3">
      <c r="E104" s="4">
        <f t="shared" si="1"/>
        <v>102</v>
      </c>
      <c r="F104" s="5">
        <v>41015</v>
      </c>
      <c r="G104" s="4">
        <v>1</v>
      </c>
      <c r="H104" s="4">
        <v>1880</v>
      </c>
    </row>
    <row r="105" spans="5:8" ht="15.75" thickBot="1" x14ac:dyDescent="0.3">
      <c r="E105" s="4">
        <f t="shared" si="1"/>
        <v>103</v>
      </c>
      <c r="F105" s="5">
        <v>41031</v>
      </c>
      <c r="G105" s="4">
        <v>4</v>
      </c>
      <c r="H105" s="4">
        <v>1300</v>
      </c>
    </row>
    <row r="106" spans="5:8" ht="15.75" thickBot="1" x14ac:dyDescent="0.3">
      <c r="E106" s="4">
        <f t="shared" si="1"/>
        <v>104</v>
      </c>
      <c r="F106" s="5">
        <v>41473</v>
      </c>
      <c r="G106" s="4">
        <v>1</v>
      </c>
      <c r="H106" s="4">
        <v>300</v>
      </c>
    </row>
    <row r="107" spans="5:8" ht="15.75" thickBot="1" x14ac:dyDescent="0.3">
      <c r="E107" s="4">
        <f t="shared" si="1"/>
        <v>105</v>
      </c>
      <c r="F107" s="5">
        <v>41529</v>
      </c>
      <c r="G107" s="4">
        <v>6</v>
      </c>
      <c r="H107" s="4">
        <v>620</v>
      </c>
    </row>
    <row r="108" spans="5:8" ht="15.75" thickBot="1" x14ac:dyDescent="0.3">
      <c r="E108" s="4">
        <f t="shared" si="1"/>
        <v>106</v>
      </c>
      <c r="F108" s="5">
        <v>42295</v>
      </c>
      <c r="G108" s="4">
        <v>2</v>
      </c>
      <c r="H108" s="4">
        <v>570</v>
      </c>
    </row>
    <row r="109" spans="5:8" ht="15.75" thickBot="1" x14ac:dyDescent="0.3">
      <c r="E109" s="4">
        <f t="shared" si="1"/>
        <v>107</v>
      </c>
      <c r="F109" s="5">
        <v>41972</v>
      </c>
      <c r="G109" s="4">
        <v>4</v>
      </c>
      <c r="H109" s="4">
        <v>570</v>
      </c>
    </row>
    <row r="110" spans="5:8" ht="15.75" thickBot="1" x14ac:dyDescent="0.3">
      <c r="E110" s="4">
        <f t="shared" si="1"/>
        <v>108</v>
      </c>
      <c r="F110" s="5">
        <v>41396</v>
      </c>
      <c r="G110" s="4">
        <v>2</v>
      </c>
      <c r="H110" s="4">
        <v>890</v>
      </c>
    </row>
    <row r="111" spans="5:8" ht="15.75" thickBot="1" x14ac:dyDescent="0.3">
      <c r="E111" s="4">
        <f t="shared" si="1"/>
        <v>109</v>
      </c>
      <c r="F111" s="5">
        <v>42209</v>
      </c>
      <c r="G111" s="4">
        <v>2</v>
      </c>
      <c r="H111" s="4">
        <v>2370</v>
      </c>
    </row>
  </sheetData>
  <mergeCells count="4">
    <mergeCell ref="A1:C1"/>
    <mergeCell ref="E1:H1"/>
    <mergeCell ref="J1:M1"/>
    <mergeCell ref="O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D87E-77C0-493F-969D-C3293D385C2F}">
  <dimension ref="A1:AR201"/>
  <sheetViews>
    <sheetView workbookViewId="0">
      <selection activeCell="C17" sqref="C17"/>
    </sheetView>
  </sheetViews>
  <sheetFormatPr defaultRowHeight="15" x14ac:dyDescent="0.25"/>
  <cols>
    <col min="1" max="1" width="17.42578125" style="6" bestFit="1" customWidth="1"/>
    <col min="2" max="2" width="17.42578125" style="6" customWidth="1"/>
    <col min="3" max="3" width="17.5703125" style="6" bestFit="1" customWidth="1"/>
    <col min="4" max="4" width="17.5703125" style="6" customWidth="1"/>
    <col min="5" max="5" width="18.5703125" style="6" bestFit="1" customWidth="1"/>
    <col min="6" max="9" width="9.5703125" style="6" bestFit="1" customWidth="1"/>
    <col min="10" max="10" width="10.5703125" style="6" bestFit="1" customWidth="1"/>
    <col min="11" max="41" width="9.5703125" style="6" bestFit="1" customWidth="1"/>
    <col min="42" max="42" width="9.140625" style="6"/>
    <col min="43" max="43" width="13.28515625" style="6" bestFit="1" customWidth="1"/>
    <col min="44" max="44" width="9.5703125" style="6" bestFit="1" customWidth="1"/>
    <col min="45" max="16384" width="9.140625" style="6"/>
  </cols>
  <sheetData>
    <row r="1" spans="1:44" x14ac:dyDescent="0.25">
      <c r="A1" s="8" t="s">
        <v>21</v>
      </c>
      <c r="B1" s="8" t="s">
        <v>154</v>
      </c>
      <c r="C1" s="8" t="s">
        <v>22</v>
      </c>
      <c r="D1" s="8" t="s">
        <v>228</v>
      </c>
      <c r="E1" s="8" t="s">
        <v>23</v>
      </c>
      <c r="F1" s="9">
        <v>44562</v>
      </c>
      <c r="G1" s="9">
        <v>44593</v>
      </c>
      <c r="H1" s="9">
        <v>44621</v>
      </c>
      <c r="I1" s="9">
        <v>44652</v>
      </c>
      <c r="J1" s="9">
        <v>44682</v>
      </c>
      <c r="K1" s="9">
        <v>44713</v>
      </c>
      <c r="L1" s="9">
        <v>44743</v>
      </c>
      <c r="M1" s="9">
        <v>44774</v>
      </c>
      <c r="N1" s="9">
        <v>44805</v>
      </c>
      <c r="O1" s="9">
        <v>44835</v>
      </c>
      <c r="P1" s="9">
        <v>44866</v>
      </c>
      <c r="Q1" s="9">
        <v>44896</v>
      </c>
      <c r="R1" s="9">
        <v>44927</v>
      </c>
      <c r="S1" s="9">
        <v>44958</v>
      </c>
      <c r="T1" s="9">
        <v>44986</v>
      </c>
      <c r="U1" s="9">
        <v>45017</v>
      </c>
      <c r="V1" s="9">
        <v>45047</v>
      </c>
      <c r="W1" s="9">
        <v>45078</v>
      </c>
      <c r="X1" s="9">
        <v>45108</v>
      </c>
      <c r="Y1" s="9">
        <v>45139</v>
      </c>
      <c r="Z1" s="9">
        <v>45170</v>
      </c>
      <c r="AA1" s="9">
        <v>45200</v>
      </c>
      <c r="AB1" s="9">
        <v>45231</v>
      </c>
      <c r="AC1" s="9">
        <v>45261</v>
      </c>
      <c r="AD1" s="9">
        <v>45292</v>
      </c>
      <c r="AE1" s="9">
        <v>45323</v>
      </c>
      <c r="AF1" s="9">
        <v>45352</v>
      </c>
      <c r="AG1" s="9">
        <v>45383</v>
      </c>
      <c r="AH1" s="9">
        <v>45413</v>
      </c>
      <c r="AI1" s="9">
        <v>45444</v>
      </c>
      <c r="AJ1" s="9">
        <v>45474</v>
      </c>
      <c r="AK1" s="9">
        <v>45505</v>
      </c>
      <c r="AL1" s="9">
        <v>45536</v>
      </c>
      <c r="AM1" s="9">
        <v>45566</v>
      </c>
      <c r="AN1" s="9">
        <v>45597</v>
      </c>
      <c r="AO1" s="9">
        <v>45627</v>
      </c>
    </row>
    <row r="2" spans="1:44" x14ac:dyDescent="0.25">
      <c r="A2" s="6" t="s">
        <v>142</v>
      </c>
      <c r="B2" s="6" t="s">
        <v>155</v>
      </c>
      <c r="C2" s="6" t="s">
        <v>58</v>
      </c>
      <c r="D2" s="6" t="s">
        <v>229</v>
      </c>
      <c r="E2" s="6" t="s">
        <v>59</v>
      </c>
      <c r="F2" s="7">
        <v>120</v>
      </c>
      <c r="G2" s="7">
        <v>8350</v>
      </c>
      <c r="H2" s="7">
        <v>438</v>
      </c>
      <c r="I2" s="7">
        <v>6997</v>
      </c>
      <c r="J2" s="7">
        <v>4667</v>
      </c>
      <c r="K2" s="7">
        <v>217</v>
      </c>
      <c r="L2" s="7">
        <v>2257</v>
      </c>
      <c r="M2" s="7">
        <v>4205</v>
      </c>
      <c r="N2" s="7">
        <v>4409</v>
      </c>
      <c r="O2" s="7">
        <v>9569</v>
      </c>
      <c r="P2" s="7">
        <v>2622</v>
      </c>
      <c r="Q2" s="7">
        <v>9764</v>
      </c>
      <c r="R2" s="7">
        <v>7111</v>
      </c>
      <c r="S2" s="7">
        <v>4317</v>
      </c>
      <c r="T2" s="7">
        <v>6715</v>
      </c>
      <c r="U2" s="7">
        <v>6937</v>
      </c>
      <c r="V2" s="7">
        <v>3179</v>
      </c>
      <c r="W2" s="7">
        <v>2945</v>
      </c>
      <c r="X2" s="7">
        <v>3732</v>
      </c>
      <c r="Y2" s="7">
        <v>1515</v>
      </c>
      <c r="Z2" s="7">
        <v>7523</v>
      </c>
      <c r="AA2" s="7">
        <v>3858</v>
      </c>
      <c r="AB2" s="7">
        <v>7348</v>
      </c>
      <c r="AC2" s="7">
        <v>3296</v>
      </c>
      <c r="AD2" s="7">
        <v>4582</v>
      </c>
      <c r="AE2" s="7">
        <v>680</v>
      </c>
      <c r="AF2" s="7">
        <v>7484</v>
      </c>
      <c r="AG2" s="7">
        <v>1707</v>
      </c>
      <c r="AH2" s="7">
        <v>3982</v>
      </c>
      <c r="AI2" s="7">
        <v>6049</v>
      </c>
      <c r="AJ2" s="7">
        <v>3020</v>
      </c>
      <c r="AK2" s="7">
        <v>1103</v>
      </c>
      <c r="AL2" s="7">
        <v>5455</v>
      </c>
      <c r="AM2" s="7">
        <v>3023</v>
      </c>
      <c r="AN2" s="7">
        <v>6077</v>
      </c>
      <c r="AO2" s="7">
        <v>1025</v>
      </c>
      <c r="AQ2" s="7"/>
      <c r="AR2" s="7"/>
    </row>
    <row r="3" spans="1:44" x14ac:dyDescent="0.25">
      <c r="A3" s="6" t="s">
        <v>135</v>
      </c>
      <c r="B3" s="6" t="s">
        <v>156</v>
      </c>
      <c r="C3" s="6" t="s">
        <v>121</v>
      </c>
      <c r="D3" s="6" t="s">
        <v>230</v>
      </c>
      <c r="E3" s="6" t="s">
        <v>59</v>
      </c>
      <c r="F3" s="7">
        <v>9933</v>
      </c>
      <c r="G3" s="7">
        <v>8398</v>
      </c>
      <c r="H3" s="7">
        <v>2217</v>
      </c>
      <c r="I3" s="7">
        <v>9032</v>
      </c>
      <c r="J3" s="7">
        <v>9387</v>
      </c>
      <c r="K3" s="7">
        <v>2427</v>
      </c>
      <c r="L3" s="7">
        <v>5575</v>
      </c>
      <c r="M3" s="7">
        <v>7843</v>
      </c>
      <c r="N3" s="7">
        <v>7695</v>
      </c>
      <c r="O3" s="7">
        <v>6804</v>
      </c>
      <c r="P3" s="7">
        <v>220</v>
      </c>
      <c r="Q3" s="7">
        <v>5994</v>
      </c>
      <c r="R3" s="7">
        <v>1677</v>
      </c>
      <c r="S3" s="7">
        <v>401</v>
      </c>
      <c r="T3" s="7">
        <v>9641</v>
      </c>
      <c r="U3" s="7">
        <v>7817</v>
      </c>
      <c r="V3" s="7">
        <v>1730</v>
      </c>
      <c r="W3" s="7">
        <v>5091</v>
      </c>
      <c r="X3" s="7">
        <v>3896</v>
      </c>
      <c r="Y3" s="7">
        <v>6704</v>
      </c>
      <c r="Z3" s="7">
        <v>4012</v>
      </c>
      <c r="AA3" s="7">
        <v>8572</v>
      </c>
      <c r="AB3" s="7">
        <v>8626</v>
      </c>
      <c r="AC3" s="7">
        <v>1032</v>
      </c>
      <c r="AD3" s="7">
        <v>310</v>
      </c>
      <c r="AE3" s="7">
        <v>2872</v>
      </c>
      <c r="AF3" s="7">
        <v>6987</v>
      </c>
      <c r="AG3" s="7">
        <v>8042</v>
      </c>
      <c r="AH3" s="7">
        <v>8571</v>
      </c>
      <c r="AI3" s="7">
        <v>2755</v>
      </c>
      <c r="AJ3" s="7">
        <v>870</v>
      </c>
      <c r="AK3" s="7">
        <v>5532</v>
      </c>
      <c r="AL3" s="7">
        <v>2455</v>
      </c>
      <c r="AM3" s="7">
        <v>3254</v>
      </c>
      <c r="AN3" s="7">
        <v>1646</v>
      </c>
      <c r="AO3" s="7">
        <v>3843</v>
      </c>
      <c r="AQ3" s="7"/>
      <c r="AR3" s="7"/>
    </row>
    <row r="4" spans="1:44" x14ac:dyDescent="0.25">
      <c r="A4" s="6" t="s">
        <v>115</v>
      </c>
      <c r="B4" s="6" t="s">
        <v>157</v>
      </c>
      <c r="C4" s="6" t="s">
        <v>58</v>
      </c>
      <c r="D4" s="6" t="s">
        <v>229</v>
      </c>
      <c r="E4" s="6" t="s">
        <v>59</v>
      </c>
      <c r="F4" s="7">
        <v>2208</v>
      </c>
      <c r="G4" s="7">
        <v>8017</v>
      </c>
      <c r="H4" s="7">
        <v>2609</v>
      </c>
      <c r="I4" s="7">
        <v>4805</v>
      </c>
      <c r="J4" s="7">
        <v>9290</v>
      </c>
      <c r="K4" s="7">
        <v>7890</v>
      </c>
      <c r="L4" s="7">
        <v>4668</v>
      </c>
      <c r="M4" s="7">
        <v>7970</v>
      </c>
      <c r="N4" s="7">
        <v>9996</v>
      </c>
      <c r="O4" s="7">
        <v>9682</v>
      </c>
      <c r="P4" s="7">
        <v>6032</v>
      </c>
      <c r="Q4" s="7">
        <v>8810</v>
      </c>
      <c r="R4" s="7">
        <v>8709</v>
      </c>
      <c r="S4" s="7">
        <v>7234</v>
      </c>
      <c r="T4" s="7">
        <v>6864</v>
      </c>
      <c r="U4" s="7">
        <v>4275</v>
      </c>
      <c r="V4" s="7">
        <v>3148</v>
      </c>
      <c r="W4" s="7">
        <v>6974</v>
      </c>
      <c r="X4" s="7">
        <v>5990</v>
      </c>
      <c r="Y4" s="7">
        <v>5534</v>
      </c>
      <c r="Z4" s="7">
        <v>7072</v>
      </c>
      <c r="AA4" s="7">
        <v>6883</v>
      </c>
      <c r="AB4" s="7">
        <v>923</v>
      </c>
      <c r="AC4" s="7">
        <v>9883</v>
      </c>
      <c r="AD4" s="7">
        <v>8617</v>
      </c>
      <c r="AE4" s="7">
        <v>6707</v>
      </c>
      <c r="AF4" s="7">
        <v>5200</v>
      </c>
      <c r="AG4" s="7">
        <v>4252</v>
      </c>
      <c r="AH4" s="7">
        <v>437</v>
      </c>
      <c r="AI4" s="7">
        <v>5496</v>
      </c>
      <c r="AJ4" s="7">
        <v>7203</v>
      </c>
      <c r="AK4" s="7">
        <v>1390</v>
      </c>
      <c r="AL4" s="7">
        <v>5640</v>
      </c>
      <c r="AM4" s="7">
        <v>6853</v>
      </c>
      <c r="AN4" s="7">
        <v>8275</v>
      </c>
      <c r="AO4" s="7">
        <v>4348</v>
      </c>
      <c r="AQ4" s="7"/>
      <c r="AR4" s="7"/>
    </row>
    <row r="5" spans="1:44" x14ac:dyDescent="0.25">
      <c r="A5" s="6" t="s">
        <v>115</v>
      </c>
      <c r="B5" s="6" t="s">
        <v>157</v>
      </c>
      <c r="C5" s="6" t="s">
        <v>121</v>
      </c>
      <c r="D5" s="6" t="s">
        <v>230</v>
      </c>
      <c r="E5" s="6" t="s">
        <v>59</v>
      </c>
      <c r="F5" s="7">
        <v>5638</v>
      </c>
      <c r="G5" s="7">
        <v>72</v>
      </c>
      <c r="H5" s="7">
        <v>9226</v>
      </c>
      <c r="I5" s="7">
        <v>6897</v>
      </c>
      <c r="J5" s="7">
        <v>5563</v>
      </c>
      <c r="K5" s="7">
        <v>1775</v>
      </c>
      <c r="L5" s="7">
        <v>5856</v>
      </c>
      <c r="M5" s="7">
        <v>9635</v>
      </c>
      <c r="N5" s="7">
        <v>573</v>
      </c>
      <c r="O5" s="7">
        <v>162</v>
      </c>
      <c r="P5" s="7">
        <v>9544</v>
      </c>
      <c r="Q5" s="7">
        <v>1597</v>
      </c>
      <c r="R5" s="7">
        <v>7233</v>
      </c>
      <c r="S5" s="7">
        <v>3664</v>
      </c>
      <c r="T5" s="7">
        <v>1564</v>
      </c>
      <c r="U5" s="7">
        <v>363</v>
      </c>
      <c r="V5" s="7">
        <v>1445</v>
      </c>
      <c r="W5" s="7">
        <v>1317</v>
      </c>
      <c r="X5" s="7">
        <v>3969</v>
      </c>
      <c r="Y5" s="7">
        <v>155</v>
      </c>
      <c r="Z5" s="7">
        <v>782</v>
      </c>
      <c r="AA5" s="7">
        <v>9758</v>
      </c>
      <c r="AB5" s="7">
        <v>4539</v>
      </c>
      <c r="AC5" s="7">
        <v>7010</v>
      </c>
      <c r="AD5" s="7">
        <v>8243</v>
      </c>
      <c r="AE5" s="7">
        <v>7727</v>
      </c>
      <c r="AF5" s="7">
        <v>6076</v>
      </c>
      <c r="AG5" s="7">
        <v>8971</v>
      </c>
      <c r="AH5" s="7">
        <v>7549</v>
      </c>
      <c r="AI5" s="7">
        <v>3656</v>
      </c>
      <c r="AJ5" s="7">
        <v>9020</v>
      </c>
      <c r="AK5" s="7">
        <v>9594</v>
      </c>
      <c r="AL5" s="7">
        <v>4505</v>
      </c>
      <c r="AM5" s="7">
        <v>1981</v>
      </c>
      <c r="AN5" s="7">
        <v>9225</v>
      </c>
      <c r="AO5" s="7">
        <v>1243</v>
      </c>
      <c r="AQ5" s="7"/>
      <c r="AR5" s="7"/>
    </row>
    <row r="6" spans="1:44" x14ac:dyDescent="0.25">
      <c r="A6" s="6" t="s">
        <v>50</v>
      </c>
      <c r="B6" s="6" t="s">
        <v>158</v>
      </c>
      <c r="C6" s="6" t="s">
        <v>69</v>
      </c>
      <c r="D6" s="6" t="s">
        <v>231</v>
      </c>
      <c r="E6" s="6" t="s">
        <v>70</v>
      </c>
      <c r="F6" s="7">
        <v>8179</v>
      </c>
      <c r="G6" s="7">
        <v>4328</v>
      </c>
      <c r="H6" s="7">
        <v>5921</v>
      </c>
      <c r="I6" s="7">
        <v>8800</v>
      </c>
      <c r="J6" s="7">
        <v>2924</v>
      </c>
      <c r="K6" s="7">
        <v>8605</v>
      </c>
      <c r="L6" s="7">
        <v>5293</v>
      </c>
      <c r="M6" s="7">
        <v>1546</v>
      </c>
      <c r="N6" s="7">
        <v>6973</v>
      </c>
      <c r="O6" s="7">
        <v>6476</v>
      </c>
      <c r="P6" s="7">
        <v>2443</v>
      </c>
      <c r="Q6" s="7">
        <v>4507</v>
      </c>
      <c r="R6" s="7">
        <v>2301</v>
      </c>
      <c r="S6" s="7">
        <v>9275</v>
      </c>
      <c r="T6" s="7">
        <v>3392</v>
      </c>
      <c r="U6" s="7">
        <v>1803</v>
      </c>
      <c r="V6" s="7">
        <v>3782</v>
      </c>
      <c r="W6" s="7">
        <v>7194</v>
      </c>
      <c r="X6" s="7">
        <v>7532</v>
      </c>
      <c r="Y6" s="7">
        <v>3765</v>
      </c>
      <c r="Z6" s="7">
        <v>1680</v>
      </c>
      <c r="AA6" s="7">
        <v>7718</v>
      </c>
      <c r="AB6" s="7">
        <v>8728</v>
      </c>
      <c r="AC6" s="7">
        <v>6992</v>
      </c>
      <c r="AD6" s="7">
        <v>1579</v>
      </c>
      <c r="AE6" s="7">
        <v>7200</v>
      </c>
      <c r="AF6" s="7">
        <v>2745</v>
      </c>
      <c r="AG6" s="7">
        <v>3957</v>
      </c>
      <c r="AH6" s="7">
        <v>6366</v>
      </c>
      <c r="AI6" s="7">
        <v>9302</v>
      </c>
      <c r="AJ6" s="7">
        <v>4895</v>
      </c>
      <c r="AK6" s="7">
        <v>8085</v>
      </c>
      <c r="AL6" s="7">
        <v>419</v>
      </c>
      <c r="AM6" s="7">
        <v>7251</v>
      </c>
      <c r="AN6" s="7">
        <v>4710</v>
      </c>
      <c r="AO6" s="7">
        <v>2521</v>
      </c>
      <c r="AQ6" s="7"/>
      <c r="AR6" s="7"/>
    </row>
    <row r="7" spans="1:44" x14ac:dyDescent="0.25">
      <c r="A7" s="6" t="s">
        <v>50</v>
      </c>
      <c r="B7" s="6" t="s">
        <v>158</v>
      </c>
      <c r="C7" s="6" t="s">
        <v>51</v>
      </c>
      <c r="D7" s="6" t="s">
        <v>232</v>
      </c>
      <c r="E7" s="6" t="s">
        <v>29</v>
      </c>
      <c r="F7" s="7">
        <v>6198</v>
      </c>
      <c r="G7" s="7">
        <v>1409</v>
      </c>
      <c r="H7" s="7">
        <v>7856</v>
      </c>
      <c r="I7" s="7">
        <v>4928</v>
      </c>
      <c r="J7" s="7">
        <v>4798</v>
      </c>
      <c r="K7" s="7">
        <v>2470</v>
      </c>
      <c r="L7" s="7">
        <v>7937</v>
      </c>
      <c r="M7" s="7">
        <v>5739</v>
      </c>
      <c r="N7" s="7">
        <v>7708</v>
      </c>
      <c r="O7" s="7">
        <v>6758</v>
      </c>
      <c r="P7" s="7">
        <v>2057</v>
      </c>
      <c r="Q7" s="7">
        <v>3092</v>
      </c>
      <c r="R7" s="7">
        <v>6986</v>
      </c>
      <c r="S7" s="7">
        <v>5609</v>
      </c>
      <c r="T7" s="7">
        <v>5990</v>
      </c>
      <c r="U7" s="7">
        <v>1583</v>
      </c>
      <c r="V7" s="7">
        <v>8109</v>
      </c>
      <c r="W7" s="7">
        <v>3353</v>
      </c>
      <c r="X7" s="7">
        <v>6894</v>
      </c>
      <c r="Y7" s="7">
        <v>6418</v>
      </c>
      <c r="Z7" s="7">
        <v>3267</v>
      </c>
      <c r="AA7" s="7">
        <v>3745</v>
      </c>
      <c r="AB7" s="7">
        <v>6332</v>
      </c>
      <c r="AC7" s="7">
        <v>7280</v>
      </c>
      <c r="AD7" s="7">
        <v>1131</v>
      </c>
      <c r="AE7" s="7">
        <v>1556</v>
      </c>
      <c r="AF7" s="7">
        <v>84</v>
      </c>
      <c r="AG7" s="7">
        <v>5218</v>
      </c>
      <c r="AH7" s="7">
        <v>5340</v>
      </c>
      <c r="AI7" s="7">
        <v>5308</v>
      </c>
      <c r="AJ7" s="7">
        <v>1169</v>
      </c>
      <c r="AK7" s="7">
        <v>4808</v>
      </c>
      <c r="AL7" s="7">
        <v>9182</v>
      </c>
      <c r="AM7" s="7">
        <v>7273</v>
      </c>
      <c r="AN7" s="7">
        <v>2607</v>
      </c>
      <c r="AO7" s="7">
        <v>5491</v>
      </c>
      <c r="AQ7" s="7"/>
      <c r="AR7" s="7"/>
    </row>
    <row r="8" spans="1:44" x14ac:dyDescent="0.25">
      <c r="A8" s="6" t="s">
        <v>50</v>
      </c>
      <c r="B8" s="6" t="s">
        <v>158</v>
      </c>
      <c r="C8" s="6" t="s">
        <v>102</v>
      </c>
      <c r="D8" s="6" t="s">
        <v>233</v>
      </c>
      <c r="E8" s="6" t="s">
        <v>75</v>
      </c>
      <c r="F8" s="7">
        <v>7899</v>
      </c>
      <c r="G8" s="7">
        <v>1529</v>
      </c>
      <c r="H8" s="7">
        <v>7390</v>
      </c>
      <c r="I8" s="7">
        <v>9464</v>
      </c>
      <c r="J8" s="7">
        <v>2327</v>
      </c>
      <c r="K8" s="7">
        <v>6893</v>
      </c>
      <c r="L8" s="7">
        <v>7608</v>
      </c>
      <c r="M8" s="7">
        <v>3918</v>
      </c>
      <c r="N8" s="7">
        <v>3440</v>
      </c>
      <c r="O8" s="7">
        <v>2986</v>
      </c>
      <c r="P8" s="7">
        <v>8095</v>
      </c>
      <c r="Q8" s="7">
        <v>7349</v>
      </c>
      <c r="R8" s="7">
        <v>5222</v>
      </c>
      <c r="S8" s="7">
        <v>3054</v>
      </c>
      <c r="T8" s="7">
        <v>2028</v>
      </c>
      <c r="U8" s="7">
        <v>617</v>
      </c>
      <c r="V8" s="7">
        <v>2840</v>
      </c>
      <c r="W8" s="7">
        <v>9264</v>
      </c>
      <c r="X8" s="7">
        <v>1472</v>
      </c>
      <c r="Y8" s="7">
        <v>425</v>
      </c>
      <c r="Z8" s="7">
        <v>8940</v>
      </c>
      <c r="AA8" s="7">
        <v>6168</v>
      </c>
      <c r="AB8" s="7">
        <v>2579</v>
      </c>
      <c r="AC8" s="7">
        <v>9427</v>
      </c>
      <c r="AD8" s="7">
        <v>6628</v>
      </c>
      <c r="AE8" s="7">
        <v>4036</v>
      </c>
      <c r="AF8" s="7">
        <v>6555</v>
      </c>
      <c r="AG8" s="7">
        <v>2995</v>
      </c>
      <c r="AH8" s="7">
        <v>2728</v>
      </c>
      <c r="AI8" s="7">
        <v>6023</v>
      </c>
      <c r="AJ8" s="7">
        <v>7817</v>
      </c>
      <c r="AK8" s="7">
        <v>772</v>
      </c>
      <c r="AL8" s="7">
        <v>6403</v>
      </c>
      <c r="AM8" s="7">
        <v>5518</v>
      </c>
      <c r="AN8" s="7">
        <v>77</v>
      </c>
      <c r="AO8" s="7">
        <v>1476</v>
      </c>
      <c r="AQ8" s="7"/>
      <c r="AR8" s="7"/>
    </row>
    <row r="9" spans="1:44" x14ac:dyDescent="0.25">
      <c r="A9" s="6" t="s">
        <v>89</v>
      </c>
      <c r="B9" s="6" t="s">
        <v>159</v>
      </c>
      <c r="C9" s="6" t="s">
        <v>25</v>
      </c>
      <c r="D9" s="6" t="s">
        <v>234</v>
      </c>
      <c r="E9" s="6" t="s">
        <v>26</v>
      </c>
      <c r="F9" s="7">
        <v>7489</v>
      </c>
      <c r="G9" s="7">
        <v>8793</v>
      </c>
      <c r="H9" s="7">
        <v>2130</v>
      </c>
      <c r="I9" s="7">
        <v>6762</v>
      </c>
      <c r="J9" s="7">
        <v>6384</v>
      </c>
      <c r="K9" s="7">
        <v>8820</v>
      </c>
      <c r="L9" s="7">
        <v>1568</v>
      </c>
      <c r="M9" s="7">
        <v>4669</v>
      </c>
      <c r="N9" s="7">
        <v>9357</v>
      </c>
      <c r="O9" s="7">
        <v>884</v>
      </c>
      <c r="P9" s="7">
        <v>8223</v>
      </c>
      <c r="Q9" s="7">
        <v>1235</v>
      </c>
      <c r="R9" s="7">
        <v>2473</v>
      </c>
      <c r="S9" s="7">
        <v>2388</v>
      </c>
      <c r="T9" s="7">
        <v>8317</v>
      </c>
      <c r="U9" s="7">
        <v>6718</v>
      </c>
      <c r="V9" s="7">
        <v>9322</v>
      </c>
      <c r="W9" s="7">
        <v>7028</v>
      </c>
      <c r="X9" s="7">
        <v>7796</v>
      </c>
      <c r="Y9" s="7">
        <v>4950</v>
      </c>
      <c r="Z9" s="7">
        <v>1536</v>
      </c>
      <c r="AA9" s="7">
        <v>4921</v>
      </c>
      <c r="AB9" s="7">
        <v>8687</v>
      </c>
      <c r="AC9" s="7">
        <v>7187</v>
      </c>
      <c r="AD9" s="7">
        <v>6822</v>
      </c>
      <c r="AE9" s="7">
        <v>2267</v>
      </c>
      <c r="AF9" s="7">
        <v>6004</v>
      </c>
      <c r="AG9" s="7">
        <v>8957</v>
      </c>
      <c r="AH9" s="7">
        <v>929</v>
      </c>
      <c r="AI9" s="7">
        <v>6544</v>
      </c>
      <c r="AJ9" s="7">
        <v>4653</v>
      </c>
      <c r="AK9" s="7">
        <v>6413</v>
      </c>
      <c r="AL9" s="7">
        <v>1289</v>
      </c>
      <c r="AM9" s="7">
        <v>8876</v>
      </c>
      <c r="AN9" s="7">
        <v>6466</v>
      </c>
      <c r="AO9" s="7">
        <v>6868</v>
      </c>
      <c r="AQ9" s="7"/>
      <c r="AR9" s="7"/>
    </row>
    <row r="10" spans="1:44" x14ac:dyDescent="0.25">
      <c r="A10" s="6" t="s">
        <v>89</v>
      </c>
      <c r="B10" s="6" t="s">
        <v>159</v>
      </c>
      <c r="C10" s="6" t="s">
        <v>85</v>
      </c>
      <c r="D10" s="6" t="s">
        <v>235</v>
      </c>
      <c r="E10" s="6" t="s">
        <v>26</v>
      </c>
      <c r="F10" s="7">
        <v>9210</v>
      </c>
      <c r="G10" s="7">
        <v>3228</v>
      </c>
      <c r="H10" s="7">
        <v>754</v>
      </c>
      <c r="I10" s="7">
        <v>9672</v>
      </c>
      <c r="J10" s="7">
        <v>6800</v>
      </c>
      <c r="K10" s="7">
        <v>8016</v>
      </c>
      <c r="L10" s="7">
        <v>7288</v>
      </c>
      <c r="M10" s="7">
        <v>8017</v>
      </c>
      <c r="N10" s="7">
        <v>1744</v>
      </c>
      <c r="O10" s="7">
        <v>3712</v>
      </c>
      <c r="P10" s="7">
        <v>2277</v>
      </c>
      <c r="Q10" s="7">
        <v>4858</v>
      </c>
      <c r="R10" s="7">
        <v>2957</v>
      </c>
      <c r="S10" s="7">
        <v>1804</v>
      </c>
      <c r="T10" s="7">
        <v>2250</v>
      </c>
      <c r="U10" s="7">
        <v>2807</v>
      </c>
      <c r="V10" s="7">
        <v>3473</v>
      </c>
      <c r="W10" s="7">
        <v>3124</v>
      </c>
      <c r="X10" s="7">
        <v>5649</v>
      </c>
      <c r="Y10" s="7">
        <v>4321</v>
      </c>
      <c r="Z10" s="7">
        <v>4245</v>
      </c>
      <c r="AA10" s="7">
        <v>9047</v>
      </c>
      <c r="AB10" s="7">
        <v>9718</v>
      </c>
      <c r="AC10" s="7">
        <v>2063</v>
      </c>
      <c r="AD10" s="7">
        <v>3319</v>
      </c>
      <c r="AE10" s="7">
        <v>4171</v>
      </c>
      <c r="AF10" s="7">
        <v>656</v>
      </c>
      <c r="AG10" s="7">
        <v>5629</v>
      </c>
      <c r="AH10" s="7">
        <v>6481</v>
      </c>
      <c r="AI10" s="7">
        <v>1710</v>
      </c>
      <c r="AJ10" s="7">
        <v>1844</v>
      </c>
      <c r="AK10" s="7">
        <v>3647</v>
      </c>
      <c r="AL10" s="7">
        <v>7954</v>
      </c>
      <c r="AM10" s="7">
        <v>1863</v>
      </c>
      <c r="AN10" s="7">
        <v>8436</v>
      </c>
      <c r="AO10" s="7">
        <v>5085</v>
      </c>
      <c r="AQ10" s="7"/>
      <c r="AR10" s="7"/>
    </row>
    <row r="11" spans="1:44" x14ac:dyDescent="0.25">
      <c r="A11" s="6" t="s">
        <v>89</v>
      </c>
      <c r="B11" s="6" t="s">
        <v>159</v>
      </c>
      <c r="C11" s="6" t="s">
        <v>90</v>
      </c>
      <c r="D11" s="6" t="s">
        <v>236</v>
      </c>
      <c r="E11" s="6" t="s">
        <v>75</v>
      </c>
      <c r="F11" s="7">
        <v>8681</v>
      </c>
      <c r="G11" s="7">
        <v>3759</v>
      </c>
      <c r="H11" s="7">
        <v>5943</v>
      </c>
      <c r="I11" s="7">
        <v>3190</v>
      </c>
      <c r="J11" s="7">
        <v>5927</v>
      </c>
      <c r="K11" s="7">
        <v>6844</v>
      </c>
      <c r="L11" s="7">
        <v>6078</v>
      </c>
      <c r="M11" s="7">
        <v>6567</v>
      </c>
      <c r="N11" s="7">
        <v>8917</v>
      </c>
      <c r="O11" s="7">
        <v>9263</v>
      </c>
      <c r="P11" s="7">
        <v>6808</v>
      </c>
      <c r="Q11" s="7">
        <v>2702</v>
      </c>
      <c r="R11" s="7">
        <v>2403</v>
      </c>
      <c r="S11" s="7">
        <v>5459</v>
      </c>
      <c r="T11" s="7">
        <v>2461</v>
      </c>
      <c r="U11" s="7">
        <v>1652</v>
      </c>
      <c r="V11" s="7">
        <v>2135</v>
      </c>
      <c r="W11" s="7">
        <v>4531</v>
      </c>
      <c r="X11" s="7">
        <v>8721</v>
      </c>
      <c r="Y11" s="7">
        <v>2866</v>
      </c>
      <c r="Z11" s="7">
        <v>3345</v>
      </c>
      <c r="AA11" s="7">
        <v>4557</v>
      </c>
      <c r="AB11" s="7">
        <v>130</v>
      </c>
      <c r="AC11" s="7">
        <v>1254</v>
      </c>
      <c r="AD11" s="7">
        <v>6861</v>
      </c>
      <c r="AE11" s="7">
        <v>3126</v>
      </c>
      <c r="AF11" s="7">
        <v>1460</v>
      </c>
      <c r="AG11" s="7">
        <v>3367</v>
      </c>
      <c r="AH11" s="7">
        <v>2002</v>
      </c>
      <c r="AI11" s="7">
        <v>7736</v>
      </c>
      <c r="AJ11" s="7">
        <v>3202</v>
      </c>
      <c r="AK11" s="7">
        <v>5173</v>
      </c>
      <c r="AL11" s="7">
        <v>5223</v>
      </c>
      <c r="AM11" s="7">
        <v>9142</v>
      </c>
      <c r="AN11" s="7">
        <v>1364</v>
      </c>
      <c r="AO11" s="7">
        <v>1348</v>
      </c>
      <c r="AQ11" s="7"/>
      <c r="AR11" s="7"/>
    </row>
    <row r="12" spans="1:44" x14ac:dyDescent="0.25">
      <c r="A12" s="6" t="s">
        <v>125</v>
      </c>
      <c r="B12" s="6" t="s">
        <v>160</v>
      </c>
      <c r="C12" s="6" t="s">
        <v>104</v>
      </c>
      <c r="D12" s="6" t="s">
        <v>237</v>
      </c>
      <c r="E12" s="6" t="s">
        <v>75</v>
      </c>
      <c r="F12" s="7">
        <v>294</v>
      </c>
      <c r="G12" s="7">
        <v>3346</v>
      </c>
      <c r="H12" s="7">
        <v>1032</v>
      </c>
      <c r="I12" s="7">
        <v>5515</v>
      </c>
      <c r="J12" s="7">
        <v>2405</v>
      </c>
      <c r="K12" s="7">
        <v>4495</v>
      </c>
      <c r="L12" s="7">
        <v>8038</v>
      </c>
      <c r="M12" s="7">
        <v>8910</v>
      </c>
      <c r="N12" s="7">
        <v>3507</v>
      </c>
      <c r="O12" s="7">
        <v>3961</v>
      </c>
      <c r="P12" s="7">
        <v>4521</v>
      </c>
      <c r="Q12" s="7">
        <v>2092</v>
      </c>
      <c r="R12" s="7">
        <v>4074</v>
      </c>
      <c r="S12" s="7">
        <v>1995</v>
      </c>
      <c r="T12" s="7">
        <v>5202</v>
      </c>
      <c r="U12" s="7">
        <v>8662</v>
      </c>
      <c r="V12" s="7">
        <v>6248</v>
      </c>
      <c r="W12" s="7">
        <v>4173</v>
      </c>
      <c r="X12" s="7">
        <v>9043</v>
      </c>
      <c r="Y12" s="7">
        <v>8927</v>
      </c>
      <c r="Z12" s="7">
        <v>8272</v>
      </c>
      <c r="AA12" s="7">
        <v>9236</v>
      </c>
      <c r="AB12" s="7">
        <v>6864</v>
      </c>
      <c r="AC12" s="7">
        <v>3286</v>
      </c>
      <c r="AD12" s="7">
        <v>5511</v>
      </c>
      <c r="AE12" s="7">
        <v>8374</v>
      </c>
      <c r="AF12" s="7">
        <v>751</v>
      </c>
      <c r="AG12" s="7">
        <v>2302</v>
      </c>
      <c r="AH12" s="7">
        <v>3829</v>
      </c>
      <c r="AI12" s="7">
        <v>9299</v>
      </c>
      <c r="AJ12" s="7">
        <v>2549</v>
      </c>
      <c r="AK12" s="7">
        <v>9475</v>
      </c>
      <c r="AL12" s="7">
        <v>1088</v>
      </c>
      <c r="AM12" s="7">
        <v>3660</v>
      </c>
      <c r="AN12" s="7">
        <v>6070</v>
      </c>
      <c r="AO12" s="7">
        <v>6606</v>
      </c>
      <c r="AQ12" s="7"/>
      <c r="AR12" s="7"/>
    </row>
    <row r="13" spans="1:44" x14ac:dyDescent="0.25">
      <c r="A13" s="6" t="s">
        <v>125</v>
      </c>
      <c r="B13" s="6" t="s">
        <v>160</v>
      </c>
      <c r="C13" s="6" t="s">
        <v>93</v>
      </c>
      <c r="D13" s="6" t="s">
        <v>238</v>
      </c>
      <c r="E13" s="6" t="s">
        <v>70</v>
      </c>
      <c r="F13" s="7">
        <v>1900</v>
      </c>
      <c r="G13" s="7">
        <v>6291</v>
      </c>
      <c r="H13" s="7">
        <v>6702</v>
      </c>
      <c r="I13" s="7">
        <v>578</v>
      </c>
      <c r="J13" s="7">
        <v>8345</v>
      </c>
      <c r="K13" s="7">
        <v>5080</v>
      </c>
      <c r="L13" s="7">
        <v>5771</v>
      </c>
      <c r="M13" s="7">
        <v>3408</v>
      </c>
      <c r="N13" s="7">
        <v>5118</v>
      </c>
      <c r="O13" s="7">
        <v>4789</v>
      </c>
      <c r="P13" s="7">
        <v>3215</v>
      </c>
      <c r="Q13" s="7">
        <v>5138</v>
      </c>
      <c r="R13" s="7">
        <v>3338</v>
      </c>
      <c r="S13" s="7">
        <v>9433</v>
      </c>
      <c r="T13" s="7">
        <v>929</v>
      </c>
      <c r="U13" s="7">
        <v>6892</v>
      </c>
      <c r="V13" s="7">
        <v>8618</v>
      </c>
      <c r="W13" s="7">
        <v>1127</v>
      </c>
      <c r="X13" s="7">
        <v>7488</v>
      </c>
      <c r="Y13" s="7">
        <v>360</v>
      </c>
      <c r="Z13" s="7">
        <v>3343</v>
      </c>
      <c r="AA13" s="7">
        <v>4751</v>
      </c>
      <c r="AB13" s="7">
        <v>1809</v>
      </c>
      <c r="AC13" s="7">
        <v>3990</v>
      </c>
      <c r="AD13" s="7">
        <v>2150</v>
      </c>
      <c r="AE13" s="7">
        <v>2728</v>
      </c>
      <c r="AF13" s="7">
        <v>6598</v>
      </c>
      <c r="AG13" s="7">
        <v>9002</v>
      </c>
      <c r="AH13" s="7">
        <v>5427</v>
      </c>
      <c r="AI13" s="7">
        <v>8904</v>
      </c>
      <c r="AJ13" s="7">
        <v>6506</v>
      </c>
      <c r="AK13" s="7">
        <v>6140</v>
      </c>
      <c r="AL13" s="7">
        <v>3717</v>
      </c>
      <c r="AM13" s="7">
        <v>522</v>
      </c>
      <c r="AN13" s="7">
        <v>8735</v>
      </c>
      <c r="AO13" s="7">
        <v>9430</v>
      </c>
      <c r="AQ13" s="7"/>
      <c r="AR13" s="7"/>
    </row>
    <row r="14" spans="1:44" x14ac:dyDescent="0.25">
      <c r="A14" s="6" t="s">
        <v>125</v>
      </c>
      <c r="B14" s="6" t="s">
        <v>160</v>
      </c>
      <c r="C14" s="6" t="s">
        <v>78</v>
      </c>
      <c r="D14" s="6" t="s">
        <v>239</v>
      </c>
      <c r="E14" s="6" t="s">
        <v>33</v>
      </c>
      <c r="F14" s="7">
        <v>3071</v>
      </c>
      <c r="G14" s="7">
        <v>8216</v>
      </c>
      <c r="H14" s="7">
        <v>6495</v>
      </c>
      <c r="I14" s="7">
        <v>5440</v>
      </c>
      <c r="J14" s="7">
        <v>863</v>
      </c>
      <c r="K14" s="7">
        <v>3202</v>
      </c>
      <c r="L14" s="7">
        <v>8526</v>
      </c>
      <c r="M14" s="7">
        <v>170</v>
      </c>
      <c r="N14" s="7">
        <v>9844</v>
      </c>
      <c r="O14" s="7">
        <v>6805</v>
      </c>
      <c r="P14" s="7">
        <v>2768</v>
      </c>
      <c r="Q14" s="7">
        <v>7292</v>
      </c>
      <c r="R14" s="7">
        <v>1076</v>
      </c>
      <c r="S14" s="7">
        <v>708</v>
      </c>
      <c r="T14" s="7">
        <v>9855</v>
      </c>
      <c r="U14" s="7">
        <v>2320</v>
      </c>
      <c r="V14" s="7">
        <v>9362</v>
      </c>
      <c r="W14" s="7">
        <v>4015</v>
      </c>
      <c r="X14" s="7">
        <v>309</v>
      </c>
      <c r="Y14" s="7">
        <v>8723</v>
      </c>
      <c r="Z14" s="7">
        <v>1006</v>
      </c>
      <c r="AA14" s="7">
        <v>379</v>
      </c>
      <c r="AB14" s="7">
        <v>115</v>
      </c>
      <c r="AC14" s="7">
        <v>6359</v>
      </c>
      <c r="AD14" s="7">
        <v>344</v>
      </c>
      <c r="AE14" s="7">
        <v>6610</v>
      </c>
      <c r="AF14" s="7">
        <v>4837</v>
      </c>
      <c r="AG14" s="7">
        <v>6332</v>
      </c>
      <c r="AH14" s="7">
        <v>318</v>
      </c>
      <c r="AI14" s="7">
        <v>34</v>
      </c>
      <c r="AJ14" s="7">
        <v>5354</v>
      </c>
      <c r="AK14" s="7">
        <v>5036</v>
      </c>
      <c r="AL14" s="7">
        <v>6536</v>
      </c>
      <c r="AM14" s="7">
        <v>6215</v>
      </c>
      <c r="AN14" s="7">
        <v>2719</v>
      </c>
      <c r="AO14" s="7">
        <v>6056</v>
      </c>
      <c r="AQ14" s="7"/>
      <c r="AR14" s="7"/>
    </row>
    <row r="15" spans="1:44" x14ac:dyDescent="0.25">
      <c r="A15" s="6" t="s">
        <v>125</v>
      </c>
      <c r="B15" s="6" t="s">
        <v>160</v>
      </c>
      <c r="C15" s="6" t="s">
        <v>102</v>
      </c>
      <c r="D15" s="6" t="s">
        <v>233</v>
      </c>
      <c r="E15" s="6" t="s">
        <v>75</v>
      </c>
      <c r="F15" s="7">
        <v>6377</v>
      </c>
      <c r="G15" s="7">
        <v>1660</v>
      </c>
      <c r="H15" s="7">
        <v>4995</v>
      </c>
      <c r="I15" s="7">
        <v>1057</v>
      </c>
      <c r="J15" s="7">
        <v>107</v>
      </c>
      <c r="K15" s="7">
        <v>7559</v>
      </c>
      <c r="L15" s="7">
        <v>5233</v>
      </c>
      <c r="M15" s="7">
        <v>1925</v>
      </c>
      <c r="N15" s="7">
        <v>6830</v>
      </c>
      <c r="O15" s="7">
        <v>8367</v>
      </c>
      <c r="P15" s="7">
        <v>1105</v>
      </c>
      <c r="Q15" s="7">
        <v>3148</v>
      </c>
      <c r="R15" s="7">
        <v>1815</v>
      </c>
      <c r="S15" s="7">
        <v>2273</v>
      </c>
      <c r="T15" s="7">
        <v>111</v>
      </c>
      <c r="U15" s="7">
        <v>6918</v>
      </c>
      <c r="V15" s="7">
        <v>4664</v>
      </c>
      <c r="W15" s="7">
        <v>9930</v>
      </c>
      <c r="X15" s="7">
        <v>3625</v>
      </c>
      <c r="Y15" s="7">
        <v>1134</v>
      </c>
      <c r="Z15" s="7">
        <v>9496</v>
      </c>
      <c r="AA15" s="7">
        <v>6528</v>
      </c>
      <c r="AB15" s="7">
        <v>1296</v>
      </c>
      <c r="AC15" s="7">
        <v>4688</v>
      </c>
      <c r="AD15" s="7">
        <v>4515</v>
      </c>
      <c r="AE15" s="7">
        <v>595</v>
      </c>
      <c r="AF15" s="7">
        <v>3076</v>
      </c>
      <c r="AG15" s="7">
        <v>1137</v>
      </c>
      <c r="AH15" s="7">
        <v>6552</v>
      </c>
      <c r="AI15" s="7">
        <v>4260</v>
      </c>
      <c r="AJ15" s="7">
        <v>1281</v>
      </c>
      <c r="AK15" s="7">
        <v>7147</v>
      </c>
      <c r="AL15" s="7">
        <v>2330</v>
      </c>
      <c r="AM15" s="7">
        <v>1612</v>
      </c>
      <c r="AN15" s="7">
        <v>9369</v>
      </c>
      <c r="AO15" s="7">
        <v>3269</v>
      </c>
      <c r="AQ15" s="7"/>
      <c r="AR15" s="7"/>
    </row>
    <row r="16" spans="1:44" x14ac:dyDescent="0.25">
      <c r="A16" s="6" t="s">
        <v>116</v>
      </c>
      <c r="B16" s="6" t="s">
        <v>161</v>
      </c>
      <c r="C16" s="6" t="s">
        <v>69</v>
      </c>
      <c r="D16" s="6" t="s">
        <v>231</v>
      </c>
      <c r="E16" s="6" t="s">
        <v>70</v>
      </c>
      <c r="F16" s="7">
        <v>1006</v>
      </c>
      <c r="G16" s="7">
        <v>3678</v>
      </c>
      <c r="H16" s="7">
        <v>5737</v>
      </c>
      <c r="I16" s="7">
        <v>9797</v>
      </c>
      <c r="J16" s="7">
        <v>9935</v>
      </c>
      <c r="K16" s="7">
        <v>7971</v>
      </c>
      <c r="L16" s="7">
        <v>264</v>
      </c>
      <c r="M16" s="7">
        <v>8292</v>
      </c>
      <c r="N16" s="7">
        <v>5407</v>
      </c>
      <c r="O16" s="7">
        <v>2768</v>
      </c>
      <c r="P16" s="7">
        <v>4307</v>
      </c>
      <c r="Q16" s="7">
        <v>5788</v>
      </c>
      <c r="R16" s="7">
        <v>8200</v>
      </c>
      <c r="S16" s="7">
        <v>5070</v>
      </c>
      <c r="T16" s="7">
        <v>7226</v>
      </c>
      <c r="U16" s="7">
        <v>5022</v>
      </c>
      <c r="V16" s="7">
        <v>5688</v>
      </c>
      <c r="W16" s="7">
        <v>7424</v>
      </c>
      <c r="X16" s="7">
        <v>3532</v>
      </c>
      <c r="Y16" s="7">
        <v>5395</v>
      </c>
      <c r="Z16" s="7">
        <v>9681</v>
      </c>
      <c r="AA16" s="7">
        <v>235</v>
      </c>
      <c r="AB16" s="7">
        <v>6924</v>
      </c>
      <c r="AC16" s="7">
        <v>9644</v>
      </c>
      <c r="AD16" s="7">
        <v>7419</v>
      </c>
      <c r="AE16" s="7">
        <v>530</v>
      </c>
      <c r="AF16" s="7">
        <v>300</v>
      </c>
      <c r="AG16" s="7">
        <v>9395</v>
      </c>
      <c r="AH16" s="7">
        <v>5314</v>
      </c>
      <c r="AI16" s="7">
        <v>446</v>
      </c>
      <c r="AJ16" s="7">
        <v>5530</v>
      </c>
      <c r="AK16" s="7">
        <v>656</v>
      </c>
      <c r="AL16" s="7">
        <v>8877</v>
      </c>
      <c r="AM16" s="7">
        <v>6026</v>
      </c>
      <c r="AN16" s="7">
        <v>1296</v>
      </c>
      <c r="AO16" s="7">
        <v>3362</v>
      </c>
      <c r="AQ16" s="7"/>
      <c r="AR16" s="7"/>
    </row>
    <row r="17" spans="1:44" x14ac:dyDescent="0.25">
      <c r="A17" s="6" t="s">
        <v>116</v>
      </c>
      <c r="B17" s="6" t="s">
        <v>161</v>
      </c>
      <c r="C17" s="6" t="s">
        <v>72</v>
      </c>
      <c r="D17" s="6" t="s">
        <v>240</v>
      </c>
      <c r="E17" s="6" t="s">
        <v>26</v>
      </c>
      <c r="F17" s="7">
        <v>518</v>
      </c>
      <c r="G17" s="7">
        <v>9838</v>
      </c>
      <c r="H17" s="7">
        <v>2279</v>
      </c>
      <c r="I17" s="7">
        <v>453</v>
      </c>
      <c r="J17" s="7">
        <v>9032</v>
      </c>
      <c r="K17" s="7">
        <v>787</v>
      </c>
      <c r="L17" s="7">
        <v>6308</v>
      </c>
      <c r="M17" s="7">
        <v>7572</v>
      </c>
      <c r="N17" s="7">
        <v>1411</v>
      </c>
      <c r="O17" s="7">
        <v>9669</v>
      </c>
      <c r="P17" s="7">
        <v>7377</v>
      </c>
      <c r="Q17" s="7">
        <v>2206</v>
      </c>
      <c r="R17" s="7">
        <v>2801</v>
      </c>
      <c r="S17" s="7">
        <v>8111</v>
      </c>
      <c r="T17" s="7">
        <v>4123</v>
      </c>
      <c r="U17" s="7">
        <v>4253</v>
      </c>
      <c r="V17" s="7">
        <v>4456</v>
      </c>
      <c r="W17" s="7">
        <v>3489</v>
      </c>
      <c r="X17" s="7">
        <v>2780</v>
      </c>
      <c r="Y17" s="7">
        <v>6010</v>
      </c>
      <c r="Z17" s="7">
        <v>1741</v>
      </c>
      <c r="AA17" s="7">
        <v>1460</v>
      </c>
      <c r="AB17" s="7">
        <v>4755</v>
      </c>
      <c r="AC17" s="7">
        <v>1523</v>
      </c>
      <c r="AD17" s="7">
        <v>7963</v>
      </c>
      <c r="AE17" s="7">
        <v>1928</v>
      </c>
      <c r="AF17" s="7">
        <v>9364</v>
      </c>
      <c r="AG17" s="7">
        <v>7254</v>
      </c>
      <c r="AH17" s="7">
        <v>6808</v>
      </c>
      <c r="AI17" s="7">
        <v>2245</v>
      </c>
      <c r="AJ17" s="7">
        <v>2971</v>
      </c>
      <c r="AK17" s="7">
        <v>7971</v>
      </c>
      <c r="AL17" s="7">
        <v>6598</v>
      </c>
      <c r="AM17" s="7">
        <v>1282</v>
      </c>
      <c r="AN17" s="7">
        <v>4162</v>
      </c>
      <c r="AO17" s="7">
        <v>9547</v>
      </c>
      <c r="AQ17" s="7"/>
      <c r="AR17" s="7"/>
    </row>
    <row r="18" spans="1:44" x14ac:dyDescent="0.25">
      <c r="A18" s="6" t="s">
        <v>139</v>
      </c>
      <c r="B18" s="6" t="s">
        <v>162</v>
      </c>
      <c r="C18" s="6" t="s">
        <v>118</v>
      </c>
      <c r="D18" s="6" t="s">
        <v>241</v>
      </c>
      <c r="E18" s="6" t="s">
        <v>36</v>
      </c>
      <c r="F18" s="7">
        <v>9376</v>
      </c>
      <c r="G18" s="7">
        <v>5</v>
      </c>
      <c r="H18" s="7">
        <v>9136</v>
      </c>
      <c r="I18" s="7">
        <v>5768</v>
      </c>
      <c r="J18" s="7">
        <v>4989</v>
      </c>
      <c r="K18" s="7">
        <v>6421</v>
      </c>
      <c r="L18" s="7">
        <v>8475</v>
      </c>
      <c r="M18" s="7">
        <v>3827</v>
      </c>
      <c r="N18" s="7">
        <v>3926</v>
      </c>
      <c r="O18" s="7">
        <v>4075</v>
      </c>
      <c r="P18" s="7">
        <v>3850</v>
      </c>
      <c r="Q18" s="7">
        <v>2790</v>
      </c>
      <c r="R18" s="7">
        <v>3171</v>
      </c>
      <c r="S18" s="7">
        <v>8225</v>
      </c>
      <c r="T18" s="7">
        <v>2973</v>
      </c>
      <c r="U18" s="7">
        <v>2417</v>
      </c>
      <c r="V18" s="7">
        <v>1096</v>
      </c>
      <c r="W18" s="7">
        <v>1261</v>
      </c>
      <c r="X18" s="7">
        <v>4977</v>
      </c>
      <c r="Y18" s="7">
        <v>8625</v>
      </c>
      <c r="Z18" s="7">
        <v>8506</v>
      </c>
      <c r="AA18" s="7">
        <v>1383</v>
      </c>
      <c r="AB18" s="7">
        <v>2662</v>
      </c>
      <c r="AC18" s="7">
        <v>1996</v>
      </c>
      <c r="AD18" s="7">
        <v>3166</v>
      </c>
      <c r="AE18" s="7">
        <v>3361</v>
      </c>
      <c r="AF18" s="7">
        <v>7154</v>
      </c>
      <c r="AG18" s="7">
        <v>9007</v>
      </c>
      <c r="AH18" s="7">
        <v>8560</v>
      </c>
      <c r="AI18" s="7">
        <v>3299</v>
      </c>
      <c r="AJ18" s="7">
        <v>8971</v>
      </c>
      <c r="AK18" s="7">
        <v>408</v>
      </c>
      <c r="AL18" s="7">
        <v>3182</v>
      </c>
      <c r="AM18" s="7">
        <v>9258</v>
      </c>
      <c r="AN18" s="7">
        <v>3542</v>
      </c>
      <c r="AO18" s="7">
        <v>6489</v>
      </c>
      <c r="AQ18" s="7"/>
      <c r="AR18" s="7"/>
    </row>
    <row r="19" spans="1:44" x14ac:dyDescent="0.25">
      <c r="A19" s="6" t="s">
        <v>139</v>
      </c>
      <c r="B19" s="6" t="s">
        <v>162</v>
      </c>
      <c r="C19" s="6" t="s">
        <v>136</v>
      </c>
      <c r="D19" s="6" t="s">
        <v>242</v>
      </c>
      <c r="E19" s="6" t="s">
        <v>70</v>
      </c>
      <c r="F19" s="7">
        <v>7345</v>
      </c>
      <c r="G19" s="7">
        <v>4766</v>
      </c>
      <c r="H19" s="7">
        <v>8659</v>
      </c>
      <c r="I19" s="7">
        <v>7971</v>
      </c>
      <c r="J19" s="7">
        <v>7955</v>
      </c>
      <c r="K19" s="7">
        <v>8448</v>
      </c>
      <c r="L19" s="7">
        <v>7491</v>
      </c>
      <c r="M19" s="7">
        <v>336</v>
      </c>
      <c r="N19" s="7">
        <v>2692</v>
      </c>
      <c r="O19" s="7">
        <v>9350</v>
      </c>
      <c r="P19" s="7">
        <v>2420</v>
      </c>
      <c r="Q19" s="7">
        <v>290</v>
      </c>
      <c r="R19" s="7">
        <v>2226</v>
      </c>
      <c r="S19" s="7">
        <v>4054</v>
      </c>
      <c r="T19" s="7">
        <v>1394</v>
      </c>
      <c r="U19" s="7">
        <v>2082</v>
      </c>
      <c r="V19" s="7">
        <v>2495</v>
      </c>
      <c r="W19" s="7">
        <v>4129</v>
      </c>
      <c r="X19" s="7">
        <v>72</v>
      </c>
      <c r="Y19" s="7">
        <v>6778</v>
      </c>
      <c r="Z19" s="7">
        <v>6363</v>
      </c>
      <c r="AA19" s="7">
        <v>5710</v>
      </c>
      <c r="AB19" s="7">
        <v>4440</v>
      </c>
      <c r="AC19" s="7">
        <v>762</v>
      </c>
      <c r="AD19" s="7">
        <v>9978</v>
      </c>
      <c r="AE19" s="7">
        <v>568</v>
      </c>
      <c r="AF19" s="7">
        <v>8647</v>
      </c>
      <c r="AG19" s="7">
        <v>7296</v>
      </c>
      <c r="AH19" s="7">
        <v>4324</v>
      </c>
      <c r="AI19" s="7">
        <v>7406</v>
      </c>
      <c r="AJ19" s="7">
        <v>6130</v>
      </c>
      <c r="AK19" s="7">
        <v>9204</v>
      </c>
      <c r="AL19" s="7">
        <v>2764</v>
      </c>
      <c r="AM19" s="7">
        <v>1219</v>
      </c>
      <c r="AN19" s="7">
        <v>378</v>
      </c>
      <c r="AO19" s="7">
        <v>1375</v>
      </c>
      <c r="AQ19" s="7"/>
      <c r="AR19" s="7"/>
    </row>
    <row r="20" spans="1:44" x14ac:dyDescent="0.25">
      <c r="A20" s="6" t="s">
        <v>60</v>
      </c>
      <c r="B20" s="6" t="s">
        <v>163</v>
      </c>
      <c r="C20" s="6" t="s">
        <v>61</v>
      </c>
      <c r="D20" s="6" t="s">
        <v>243</v>
      </c>
      <c r="E20" s="6" t="s">
        <v>59</v>
      </c>
      <c r="F20" s="7">
        <v>2656</v>
      </c>
      <c r="G20" s="7">
        <v>2747</v>
      </c>
      <c r="H20" s="7">
        <v>8437</v>
      </c>
      <c r="I20" s="7">
        <v>9874</v>
      </c>
      <c r="J20" s="7">
        <v>5935</v>
      </c>
      <c r="K20" s="7">
        <v>2677</v>
      </c>
      <c r="L20" s="7">
        <v>9384</v>
      </c>
      <c r="M20" s="7">
        <v>2679</v>
      </c>
      <c r="N20" s="7">
        <v>5286</v>
      </c>
      <c r="O20" s="7">
        <v>5423</v>
      </c>
      <c r="P20" s="7">
        <v>6935</v>
      </c>
      <c r="Q20" s="7">
        <v>28</v>
      </c>
      <c r="R20" s="7">
        <v>3254</v>
      </c>
      <c r="S20" s="7">
        <v>5309</v>
      </c>
      <c r="T20" s="7">
        <v>2129</v>
      </c>
      <c r="U20" s="7">
        <v>3563</v>
      </c>
      <c r="V20" s="7">
        <v>7327</v>
      </c>
      <c r="W20" s="7">
        <v>2938</v>
      </c>
      <c r="X20" s="7">
        <v>186</v>
      </c>
      <c r="Y20" s="7">
        <v>5538</v>
      </c>
      <c r="Z20" s="7">
        <v>5911</v>
      </c>
      <c r="AA20" s="7">
        <v>8279</v>
      </c>
      <c r="AB20" s="7">
        <v>9872</v>
      </c>
      <c r="AC20" s="7">
        <v>975</v>
      </c>
      <c r="AD20" s="7">
        <v>1536</v>
      </c>
      <c r="AE20" s="7">
        <v>9585</v>
      </c>
      <c r="AF20" s="7">
        <v>5660</v>
      </c>
      <c r="AG20" s="7">
        <v>7559</v>
      </c>
      <c r="AH20" s="7">
        <v>1000</v>
      </c>
      <c r="AI20" s="7">
        <v>9854</v>
      </c>
      <c r="AJ20" s="7">
        <v>9576</v>
      </c>
      <c r="AK20" s="7">
        <v>6451</v>
      </c>
      <c r="AL20" s="7">
        <v>1258</v>
      </c>
      <c r="AM20" s="7">
        <v>4567</v>
      </c>
      <c r="AN20" s="7">
        <v>6742</v>
      </c>
      <c r="AO20" s="7">
        <v>539</v>
      </c>
      <c r="AQ20" s="7"/>
      <c r="AR20" s="7"/>
    </row>
    <row r="21" spans="1:44" x14ac:dyDescent="0.25">
      <c r="A21" s="6" t="s">
        <v>111</v>
      </c>
      <c r="B21" s="6" t="s">
        <v>164</v>
      </c>
      <c r="C21" s="6" t="s">
        <v>25</v>
      </c>
      <c r="D21" s="6" t="s">
        <v>234</v>
      </c>
      <c r="E21" s="6" t="s">
        <v>26</v>
      </c>
      <c r="F21" s="7">
        <v>9339</v>
      </c>
      <c r="G21" s="7">
        <v>882</v>
      </c>
      <c r="H21" s="7">
        <v>8689</v>
      </c>
      <c r="I21" s="7">
        <v>1174</v>
      </c>
      <c r="J21" s="7">
        <v>6018</v>
      </c>
      <c r="K21" s="7">
        <v>5078</v>
      </c>
      <c r="L21" s="7">
        <v>5756</v>
      </c>
      <c r="M21" s="7">
        <v>4189</v>
      </c>
      <c r="N21" s="7">
        <v>2761</v>
      </c>
      <c r="O21" s="7">
        <v>5529</v>
      </c>
      <c r="P21" s="7">
        <v>8217</v>
      </c>
      <c r="Q21" s="7">
        <v>6490</v>
      </c>
      <c r="R21" s="7">
        <v>7992</v>
      </c>
      <c r="S21" s="7">
        <v>7008</v>
      </c>
      <c r="T21" s="7">
        <v>3770</v>
      </c>
      <c r="U21" s="7">
        <v>912</v>
      </c>
      <c r="V21" s="7">
        <v>6876</v>
      </c>
      <c r="W21" s="7">
        <v>6162</v>
      </c>
      <c r="X21" s="7">
        <v>9404</v>
      </c>
      <c r="Y21" s="7">
        <v>8823</v>
      </c>
      <c r="Z21" s="7">
        <v>2067</v>
      </c>
      <c r="AA21" s="7">
        <v>1278</v>
      </c>
      <c r="AB21" s="7">
        <v>6967</v>
      </c>
      <c r="AC21" s="7">
        <v>7228</v>
      </c>
      <c r="AD21" s="7">
        <v>1147</v>
      </c>
      <c r="AE21" s="7">
        <v>3575</v>
      </c>
      <c r="AF21" s="7">
        <v>7837</v>
      </c>
      <c r="AG21" s="7">
        <v>9736</v>
      </c>
      <c r="AH21" s="7">
        <v>6718</v>
      </c>
      <c r="AI21" s="7">
        <v>9405</v>
      </c>
      <c r="AJ21" s="7">
        <v>4233</v>
      </c>
      <c r="AK21" s="7">
        <v>8654</v>
      </c>
      <c r="AL21" s="7">
        <v>6643</v>
      </c>
      <c r="AM21" s="7">
        <v>9694</v>
      </c>
      <c r="AN21" s="7">
        <v>5255</v>
      </c>
      <c r="AO21" s="7">
        <v>6429</v>
      </c>
      <c r="AQ21" s="7"/>
      <c r="AR21" s="7"/>
    </row>
    <row r="22" spans="1:44" x14ac:dyDescent="0.25">
      <c r="A22" s="6" t="s">
        <v>111</v>
      </c>
      <c r="B22" s="6" t="s">
        <v>164</v>
      </c>
      <c r="C22" s="6" t="s">
        <v>121</v>
      </c>
      <c r="D22" s="6" t="s">
        <v>230</v>
      </c>
      <c r="E22" s="6" t="s">
        <v>59</v>
      </c>
      <c r="F22" s="7">
        <v>9405</v>
      </c>
      <c r="G22" s="7">
        <v>4352</v>
      </c>
      <c r="H22" s="7">
        <v>6091</v>
      </c>
      <c r="I22" s="7">
        <v>8974</v>
      </c>
      <c r="J22" s="7">
        <v>6283</v>
      </c>
      <c r="K22" s="7">
        <v>1442</v>
      </c>
      <c r="L22" s="7">
        <v>524</v>
      </c>
      <c r="M22" s="7">
        <v>4874</v>
      </c>
      <c r="N22" s="7">
        <v>2500</v>
      </c>
      <c r="O22" s="7">
        <v>9576</v>
      </c>
      <c r="P22" s="7">
        <v>1418</v>
      </c>
      <c r="Q22" s="7">
        <v>7657</v>
      </c>
      <c r="R22" s="7">
        <v>6162</v>
      </c>
      <c r="S22" s="7">
        <v>3715</v>
      </c>
      <c r="T22" s="7">
        <v>2529</v>
      </c>
      <c r="U22" s="7">
        <v>8195</v>
      </c>
      <c r="V22" s="7">
        <v>3373</v>
      </c>
      <c r="W22" s="7">
        <v>5190</v>
      </c>
      <c r="X22" s="7">
        <v>8032</v>
      </c>
      <c r="Y22" s="7">
        <v>1294</v>
      </c>
      <c r="Z22" s="7">
        <v>8525</v>
      </c>
      <c r="AA22" s="7">
        <v>9296</v>
      </c>
      <c r="AB22" s="7">
        <v>7490</v>
      </c>
      <c r="AC22" s="7">
        <v>5573</v>
      </c>
      <c r="AD22" s="7">
        <v>7085</v>
      </c>
      <c r="AE22" s="7">
        <v>9924</v>
      </c>
      <c r="AF22" s="7">
        <v>1222</v>
      </c>
      <c r="AG22" s="7">
        <v>4822</v>
      </c>
      <c r="AH22" s="7">
        <v>3014</v>
      </c>
      <c r="AI22" s="7">
        <v>2864</v>
      </c>
      <c r="AJ22" s="7">
        <v>8411</v>
      </c>
      <c r="AK22" s="7">
        <v>2950</v>
      </c>
      <c r="AL22" s="7">
        <v>1561</v>
      </c>
      <c r="AM22" s="7">
        <v>4854</v>
      </c>
      <c r="AN22" s="7">
        <v>4681</v>
      </c>
      <c r="AO22" s="7">
        <v>917</v>
      </c>
      <c r="AQ22" s="7"/>
      <c r="AR22" s="7"/>
    </row>
    <row r="23" spans="1:44" x14ac:dyDescent="0.25">
      <c r="A23" s="6" t="s">
        <v>111</v>
      </c>
      <c r="B23" s="6" t="s">
        <v>164</v>
      </c>
      <c r="C23" s="6" t="s">
        <v>90</v>
      </c>
      <c r="D23" s="6" t="s">
        <v>236</v>
      </c>
      <c r="E23" s="6" t="s">
        <v>75</v>
      </c>
      <c r="F23" s="7">
        <v>3392</v>
      </c>
      <c r="G23" s="7">
        <v>9095</v>
      </c>
      <c r="H23" s="7">
        <v>7999</v>
      </c>
      <c r="I23" s="7">
        <v>6393</v>
      </c>
      <c r="J23" s="7">
        <v>377</v>
      </c>
      <c r="K23" s="7">
        <v>4934</v>
      </c>
      <c r="L23" s="7">
        <v>4947</v>
      </c>
      <c r="M23" s="7">
        <v>2331</v>
      </c>
      <c r="N23" s="7">
        <v>2948</v>
      </c>
      <c r="O23" s="7">
        <v>278</v>
      </c>
      <c r="P23" s="7">
        <v>663</v>
      </c>
      <c r="Q23" s="7">
        <v>3790</v>
      </c>
      <c r="R23" s="7">
        <v>5890</v>
      </c>
      <c r="S23" s="7">
        <v>1774</v>
      </c>
      <c r="T23" s="7">
        <v>2404</v>
      </c>
      <c r="U23" s="7">
        <v>1996</v>
      </c>
      <c r="V23" s="7">
        <v>4411</v>
      </c>
      <c r="W23" s="7">
        <v>1131</v>
      </c>
      <c r="X23" s="7">
        <v>7644</v>
      </c>
      <c r="Y23" s="7">
        <v>8839</v>
      </c>
      <c r="Z23" s="7">
        <v>640</v>
      </c>
      <c r="AA23" s="7">
        <v>8076</v>
      </c>
      <c r="AB23" s="7">
        <v>331</v>
      </c>
      <c r="AC23" s="7">
        <v>8278</v>
      </c>
      <c r="AD23" s="7">
        <v>8736</v>
      </c>
      <c r="AE23" s="7">
        <v>8969</v>
      </c>
      <c r="AF23" s="7">
        <v>7972</v>
      </c>
      <c r="AG23" s="7">
        <v>4667</v>
      </c>
      <c r="AH23" s="7">
        <v>9119</v>
      </c>
      <c r="AI23" s="7">
        <v>3773</v>
      </c>
      <c r="AJ23" s="7">
        <v>1047</v>
      </c>
      <c r="AK23" s="7">
        <v>9593</v>
      </c>
      <c r="AL23" s="7">
        <v>4003</v>
      </c>
      <c r="AM23" s="7">
        <v>4049</v>
      </c>
      <c r="AN23" s="7">
        <v>9381</v>
      </c>
      <c r="AO23" s="7">
        <v>2194</v>
      </c>
      <c r="AQ23" s="7"/>
      <c r="AR23" s="7"/>
    </row>
    <row r="24" spans="1:44" x14ac:dyDescent="0.25">
      <c r="A24" s="6" t="s">
        <v>98</v>
      </c>
      <c r="B24" s="6" t="s">
        <v>165</v>
      </c>
      <c r="C24" s="6" t="s">
        <v>97</v>
      </c>
      <c r="D24" s="6" t="s">
        <v>244</v>
      </c>
      <c r="E24" s="6" t="s">
        <v>70</v>
      </c>
      <c r="F24" s="7">
        <v>6845</v>
      </c>
      <c r="G24" s="7">
        <v>9513</v>
      </c>
      <c r="H24" s="7">
        <v>2601</v>
      </c>
      <c r="I24" s="7">
        <v>2535</v>
      </c>
      <c r="J24" s="7">
        <v>10000</v>
      </c>
      <c r="K24" s="7">
        <v>1945</v>
      </c>
      <c r="L24" s="7">
        <v>8392</v>
      </c>
      <c r="M24" s="7">
        <v>2064</v>
      </c>
      <c r="N24" s="7">
        <v>1343</v>
      </c>
      <c r="O24" s="7">
        <v>5301</v>
      </c>
      <c r="P24" s="7">
        <v>2181</v>
      </c>
      <c r="Q24" s="7">
        <v>5691</v>
      </c>
      <c r="R24" s="7">
        <v>9794</v>
      </c>
      <c r="S24" s="7">
        <v>1623</v>
      </c>
      <c r="T24" s="7">
        <v>8108</v>
      </c>
      <c r="U24" s="7">
        <v>3755</v>
      </c>
      <c r="V24" s="7">
        <v>6558</v>
      </c>
      <c r="W24" s="7">
        <v>3048</v>
      </c>
      <c r="X24" s="7">
        <v>276</v>
      </c>
      <c r="Y24" s="7">
        <v>5887</v>
      </c>
      <c r="Z24" s="7">
        <v>1901</v>
      </c>
      <c r="AA24" s="7">
        <v>6803</v>
      </c>
      <c r="AB24" s="7">
        <v>7419</v>
      </c>
      <c r="AC24" s="7">
        <v>2699</v>
      </c>
      <c r="AD24" s="7">
        <v>5316</v>
      </c>
      <c r="AE24" s="7">
        <v>4619</v>
      </c>
      <c r="AF24" s="7">
        <v>7597</v>
      </c>
      <c r="AG24" s="7">
        <v>3356</v>
      </c>
      <c r="AH24" s="7">
        <v>1867</v>
      </c>
      <c r="AI24" s="7">
        <v>8261</v>
      </c>
      <c r="AJ24" s="7">
        <v>6400</v>
      </c>
      <c r="AK24" s="7">
        <v>8270</v>
      </c>
      <c r="AL24" s="7">
        <v>7956</v>
      </c>
      <c r="AM24" s="7">
        <v>3934</v>
      </c>
      <c r="AN24" s="7">
        <v>9424</v>
      </c>
      <c r="AO24" s="7">
        <v>8884</v>
      </c>
      <c r="AQ24" s="7"/>
      <c r="AR24" s="7"/>
    </row>
    <row r="25" spans="1:44" x14ac:dyDescent="0.25">
      <c r="A25" s="6" t="s">
        <v>98</v>
      </c>
      <c r="B25" s="6" t="s">
        <v>165</v>
      </c>
      <c r="C25" s="6" t="s">
        <v>38</v>
      </c>
      <c r="D25" s="6" t="s">
        <v>245</v>
      </c>
      <c r="E25" s="6" t="s">
        <v>36</v>
      </c>
      <c r="F25" s="7">
        <v>2810</v>
      </c>
      <c r="G25" s="7">
        <v>7616</v>
      </c>
      <c r="H25" s="7">
        <v>6375</v>
      </c>
      <c r="I25" s="7">
        <v>2532</v>
      </c>
      <c r="J25" s="7">
        <v>1983</v>
      </c>
      <c r="K25" s="7">
        <v>4557</v>
      </c>
      <c r="L25" s="7">
        <v>8917</v>
      </c>
      <c r="M25" s="7">
        <v>5944</v>
      </c>
      <c r="N25" s="7">
        <v>334</v>
      </c>
      <c r="O25" s="7">
        <v>3668</v>
      </c>
      <c r="P25" s="7">
        <v>3575</v>
      </c>
      <c r="Q25" s="7">
        <v>5859</v>
      </c>
      <c r="R25" s="7">
        <v>7940</v>
      </c>
      <c r="S25" s="7">
        <v>5762</v>
      </c>
      <c r="T25" s="7">
        <v>3055</v>
      </c>
      <c r="U25" s="7">
        <v>7719</v>
      </c>
      <c r="V25" s="7">
        <v>1723</v>
      </c>
      <c r="W25" s="7">
        <v>6080</v>
      </c>
      <c r="X25" s="7">
        <v>7495</v>
      </c>
      <c r="Y25" s="7">
        <v>8239</v>
      </c>
      <c r="Z25" s="7">
        <v>4208</v>
      </c>
      <c r="AA25" s="7">
        <v>7931</v>
      </c>
      <c r="AB25" s="7">
        <v>8147</v>
      </c>
      <c r="AC25" s="7">
        <v>2792</v>
      </c>
      <c r="AD25" s="7">
        <v>1676</v>
      </c>
      <c r="AE25" s="7">
        <v>7932</v>
      </c>
      <c r="AF25" s="7">
        <v>8475</v>
      </c>
      <c r="AG25" s="7">
        <v>3902</v>
      </c>
      <c r="AH25" s="7">
        <v>8151</v>
      </c>
      <c r="AI25" s="7">
        <v>6329</v>
      </c>
      <c r="AJ25" s="7">
        <v>6245</v>
      </c>
      <c r="AK25" s="7">
        <v>223</v>
      </c>
      <c r="AL25" s="7">
        <v>5765</v>
      </c>
      <c r="AM25" s="7">
        <v>4177</v>
      </c>
      <c r="AN25" s="7">
        <v>3183</v>
      </c>
      <c r="AO25" s="7">
        <v>6764</v>
      </c>
      <c r="AQ25" s="7"/>
      <c r="AR25" s="7"/>
    </row>
    <row r="26" spans="1:44" x14ac:dyDescent="0.25">
      <c r="A26" s="6" t="s">
        <v>98</v>
      </c>
      <c r="B26" s="6" t="s">
        <v>165</v>
      </c>
      <c r="C26" s="6" t="s">
        <v>86</v>
      </c>
      <c r="D26" s="6" t="s">
        <v>246</v>
      </c>
      <c r="E26" s="6" t="s">
        <v>29</v>
      </c>
      <c r="F26" s="7">
        <v>4965</v>
      </c>
      <c r="G26" s="7">
        <v>6568</v>
      </c>
      <c r="H26" s="7">
        <v>909</v>
      </c>
      <c r="I26" s="7">
        <v>3585</v>
      </c>
      <c r="J26" s="7">
        <v>6038</v>
      </c>
      <c r="K26" s="7">
        <v>4128</v>
      </c>
      <c r="L26" s="7">
        <v>94</v>
      </c>
      <c r="M26" s="7">
        <v>6385</v>
      </c>
      <c r="N26" s="7">
        <v>9491</v>
      </c>
      <c r="O26" s="7">
        <v>6667</v>
      </c>
      <c r="P26" s="7">
        <v>4937</v>
      </c>
      <c r="Q26" s="7">
        <v>6786</v>
      </c>
      <c r="R26" s="7">
        <v>8017</v>
      </c>
      <c r="S26" s="7">
        <v>7744</v>
      </c>
      <c r="T26" s="7">
        <v>7105</v>
      </c>
      <c r="U26" s="7">
        <v>6993</v>
      </c>
      <c r="V26" s="7">
        <v>3418</v>
      </c>
      <c r="W26" s="7">
        <v>4030</v>
      </c>
      <c r="X26" s="7">
        <v>8399</v>
      </c>
      <c r="Y26" s="7">
        <v>2245</v>
      </c>
      <c r="Z26" s="7">
        <v>9097</v>
      </c>
      <c r="AA26" s="7">
        <v>4296</v>
      </c>
      <c r="AB26" s="7">
        <v>1659</v>
      </c>
      <c r="AC26" s="7">
        <v>4553</v>
      </c>
      <c r="AD26" s="7">
        <v>6720</v>
      </c>
      <c r="AE26" s="7">
        <v>6375</v>
      </c>
      <c r="AF26" s="7">
        <v>5385</v>
      </c>
      <c r="AG26" s="7">
        <v>4781</v>
      </c>
      <c r="AH26" s="7">
        <v>78</v>
      </c>
      <c r="AI26" s="7">
        <v>203</v>
      </c>
      <c r="AJ26" s="7">
        <v>5857</v>
      </c>
      <c r="AK26" s="7">
        <v>8423</v>
      </c>
      <c r="AL26" s="7">
        <v>7173</v>
      </c>
      <c r="AM26" s="7">
        <v>1833</v>
      </c>
      <c r="AN26" s="7">
        <v>1767</v>
      </c>
      <c r="AO26" s="7">
        <v>1080</v>
      </c>
      <c r="AQ26" s="7"/>
      <c r="AR26" s="7"/>
    </row>
    <row r="27" spans="1:44" x14ac:dyDescent="0.25">
      <c r="A27" s="6" t="s">
        <v>98</v>
      </c>
      <c r="B27" s="6" t="s">
        <v>165</v>
      </c>
      <c r="C27" s="6" t="s">
        <v>79</v>
      </c>
      <c r="D27" s="6" t="s">
        <v>247</v>
      </c>
      <c r="E27" s="6" t="s">
        <v>29</v>
      </c>
      <c r="F27" s="7">
        <v>5529</v>
      </c>
      <c r="G27" s="7">
        <v>3429</v>
      </c>
      <c r="H27" s="7">
        <v>753</v>
      </c>
      <c r="I27" s="7">
        <v>5306</v>
      </c>
      <c r="J27" s="7">
        <v>4035</v>
      </c>
      <c r="K27" s="7">
        <v>9514</v>
      </c>
      <c r="L27" s="7">
        <v>2000</v>
      </c>
      <c r="M27" s="7">
        <v>9156</v>
      </c>
      <c r="N27" s="7">
        <v>5465</v>
      </c>
      <c r="O27" s="7">
        <v>8139</v>
      </c>
      <c r="P27" s="7">
        <v>8018</v>
      </c>
      <c r="Q27" s="7">
        <v>1068</v>
      </c>
      <c r="R27" s="7">
        <v>4982</v>
      </c>
      <c r="S27" s="7">
        <v>324</v>
      </c>
      <c r="T27" s="7">
        <v>5670</v>
      </c>
      <c r="U27" s="7">
        <v>3556</v>
      </c>
      <c r="V27" s="7">
        <v>2234</v>
      </c>
      <c r="W27" s="7">
        <v>5796</v>
      </c>
      <c r="X27" s="7">
        <v>4989</v>
      </c>
      <c r="Y27" s="7">
        <v>920</v>
      </c>
      <c r="Z27" s="7">
        <v>5844</v>
      </c>
      <c r="AA27" s="7">
        <v>248</v>
      </c>
      <c r="AB27" s="7">
        <v>8393</v>
      </c>
      <c r="AC27" s="7">
        <v>9480</v>
      </c>
      <c r="AD27" s="7">
        <v>524</v>
      </c>
      <c r="AE27" s="7">
        <v>1939</v>
      </c>
      <c r="AF27" s="7">
        <v>8409</v>
      </c>
      <c r="AG27" s="7">
        <v>7</v>
      </c>
      <c r="AH27" s="7">
        <v>6922</v>
      </c>
      <c r="AI27" s="7">
        <v>8796</v>
      </c>
      <c r="AJ27" s="7">
        <v>6734</v>
      </c>
      <c r="AK27" s="7">
        <v>3144</v>
      </c>
      <c r="AL27" s="7">
        <v>1553</v>
      </c>
      <c r="AM27" s="7">
        <v>4460</v>
      </c>
      <c r="AN27" s="7">
        <v>1533</v>
      </c>
      <c r="AO27" s="7">
        <v>8543</v>
      </c>
      <c r="AQ27" s="7"/>
      <c r="AR27" s="7"/>
    </row>
    <row r="28" spans="1:44" x14ac:dyDescent="0.25">
      <c r="A28" s="6" t="s">
        <v>99</v>
      </c>
      <c r="B28" s="6" t="s">
        <v>166</v>
      </c>
      <c r="C28" s="6" t="s">
        <v>45</v>
      </c>
      <c r="D28" s="6" t="s">
        <v>248</v>
      </c>
      <c r="E28" s="6" t="s">
        <v>46</v>
      </c>
      <c r="F28" s="7">
        <v>32</v>
      </c>
      <c r="G28" s="7">
        <v>4268</v>
      </c>
      <c r="H28" s="7">
        <v>327</v>
      </c>
      <c r="I28" s="7">
        <v>501</v>
      </c>
      <c r="J28" s="7">
        <v>6499</v>
      </c>
      <c r="K28" s="7">
        <v>7267</v>
      </c>
      <c r="L28" s="7">
        <v>2213</v>
      </c>
      <c r="M28" s="7">
        <v>1003</v>
      </c>
      <c r="N28" s="7">
        <v>3505</v>
      </c>
      <c r="O28" s="7">
        <v>6400</v>
      </c>
      <c r="P28" s="7">
        <v>6338</v>
      </c>
      <c r="Q28" s="7">
        <v>9495</v>
      </c>
      <c r="R28" s="7">
        <v>7551</v>
      </c>
      <c r="S28" s="7">
        <v>6589</v>
      </c>
      <c r="T28" s="7">
        <v>6407</v>
      </c>
      <c r="U28" s="7">
        <v>6537</v>
      </c>
      <c r="V28" s="7">
        <v>708</v>
      </c>
      <c r="W28" s="7">
        <v>3034</v>
      </c>
      <c r="X28" s="7">
        <v>6956</v>
      </c>
      <c r="Y28" s="7">
        <v>663</v>
      </c>
      <c r="Z28" s="7">
        <v>9481</v>
      </c>
      <c r="AA28" s="7">
        <v>6790</v>
      </c>
      <c r="AB28" s="7">
        <v>7391</v>
      </c>
      <c r="AC28" s="7">
        <v>5209</v>
      </c>
      <c r="AD28" s="7">
        <v>1723</v>
      </c>
      <c r="AE28" s="7">
        <v>3882</v>
      </c>
      <c r="AF28" s="7">
        <v>4508</v>
      </c>
      <c r="AG28" s="7">
        <v>4277</v>
      </c>
      <c r="AH28" s="7">
        <v>819</v>
      </c>
      <c r="AI28" s="7">
        <v>9213</v>
      </c>
      <c r="AJ28" s="7">
        <v>3531</v>
      </c>
      <c r="AK28" s="7">
        <v>9213</v>
      </c>
      <c r="AL28" s="7">
        <v>2971</v>
      </c>
      <c r="AM28" s="7">
        <v>6068</v>
      </c>
      <c r="AN28" s="7">
        <v>514</v>
      </c>
      <c r="AO28" s="7">
        <v>2403</v>
      </c>
      <c r="AQ28" s="7"/>
      <c r="AR28" s="7"/>
    </row>
    <row r="29" spans="1:44" x14ac:dyDescent="0.25">
      <c r="A29" s="6" t="s">
        <v>147</v>
      </c>
      <c r="B29" s="6" t="s">
        <v>167</v>
      </c>
      <c r="C29" s="6" t="s">
        <v>148</v>
      </c>
      <c r="D29" s="6" t="s">
        <v>249</v>
      </c>
      <c r="E29" s="6" t="s">
        <v>36</v>
      </c>
      <c r="F29" s="7">
        <v>7528</v>
      </c>
      <c r="G29" s="7">
        <v>8430</v>
      </c>
      <c r="H29" s="7">
        <v>2711</v>
      </c>
      <c r="I29" s="7">
        <v>6830</v>
      </c>
      <c r="J29" s="7">
        <v>8970</v>
      </c>
      <c r="K29" s="7">
        <v>3758</v>
      </c>
      <c r="L29" s="7">
        <v>3717</v>
      </c>
      <c r="M29" s="7">
        <v>999</v>
      </c>
      <c r="N29" s="7">
        <v>5226</v>
      </c>
      <c r="O29" s="7">
        <v>9132</v>
      </c>
      <c r="P29" s="7">
        <v>7937</v>
      </c>
      <c r="Q29" s="7">
        <v>9062</v>
      </c>
      <c r="R29" s="7">
        <v>5767</v>
      </c>
      <c r="S29" s="7">
        <v>6176</v>
      </c>
      <c r="T29" s="7">
        <v>8388</v>
      </c>
      <c r="U29" s="7">
        <v>5766</v>
      </c>
      <c r="V29" s="7">
        <v>1862</v>
      </c>
      <c r="W29" s="7">
        <v>9871</v>
      </c>
      <c r="X29" s="7">
        <v>2541</v>
      </c>
      <c r="Y29" s="7">
        <v>1622</v>
      </c>
      <c r="Z29" s="7">
        <v>9238</v>
      </c>
      <c r="AA29" s="7">
        <v>1173</v>
      </c>
      <c r="AB29" s="7">
        <v>3105</v>
      </c>
      <c r="AC29" s="7">
        <v>154</v>
      </c>
      <c r="AD29" s="7">
        <v>3801</v>
      </c>
      <c r="AE29" s="7">
        <v>118</v>
      </c>
      <c r="AF29" s="7">
        <v>255</v>
      </c>
      <c r="AG29" s="7">
        <v>9009</v>
      </c>
      <c r="AH29" s="7">
        <v>5782</v>
      </c>
      <c r="AI29" s="7">
        <v>4289</v>
      </c>
      <c r="AJ29" s="7">
        <v>5073</v>
      </c>
      <c r="AK29" s="7">
        <v>7351</v>
      </c>
      <c r="AL29" s="7">
        <v>9773</v>
      </c>
      <c r="AM29" s="7">
        <v>8197</v>
      </c>
      <c r="AN29" s="7">
        <v>7498</v>
      </c>
      <c r="AO29" s="7">
        <v>5900</v>
      </c>
      <c r="AQ29" s="7"/>
      <c r="AR29" s="7"/>
    </row>
    <row r="30" spans="1:44" x14ac:dyDescent="0.25">
      <c r="A30" s="6" t="s">
        <v>126</v>
      </c>
      <c r="B30" s="6" t="s">
        <v>168</v>
      </c>
      <c r="C30" s="6" t="s">
        <v>127</v>
      </c>
      <c r="D30" s="6" t="s">
        <v>250</v>
      </c>
      <c r="E30" s="6" t="s">
        <v>46</v>
      </c>
      <c r="F30" s="7">
        <v>8506</v>
      </c>
      <c r="G30" s="7">
        <v>9060</v>
      </c>
      <c r="H30" s="7">
        <v>2111</v>
      </c>
      <c r="I30" s="7">
        <v>5216</v>
      </c>
      <c r="J30" s="7">
        <v>4912</v>
      </c>
      <c r="K30" s="7">
        <v>1810</v>
      </c>
      <c r="L30" s="7">
        <v>9490</v>
      </c>
      <c r="M30" s="7">
        <v>1398</v>
      </c>
      <c r="N30" s="7">
        <v>6674</v>
      </c>
      <c r="O30" s="7">
        <v>4266</v>
      </c>
      <c r="P30" s="7">
        <v>4993</v>
      </c>
      <c r="Q30" s="7">
        <v>6709</v>
      </c>
      <c r="R30" s="7">
        <v>8015</v>
      </c>
      <c r="S30" s="7">
        <v>7744</v>
      </c>
      <c r="T30" s="7">
        <v>8958</v>
      </c>
      <c r="U30" s="7">
        <v>206</v>
      </c>
      <c r="V30" s="7">
        <v>5776</v>
      </c>
      <c r="W30" s="7">
        <v>1637</v>
      </c>
      <c r="X30" s="7">
        <v>8448</v>
      </c>
      <c r="Y30" s="7">
        <v>4013</v>
      </c>
      <c r="Z30" s="7">
        <v>5404</v>
      </c>
      <c r="AA30" s="7">
        <v>6982</v>
      </c>
      <c r="AB30" s="7">
        <v>1821</v>
      </c>
      <c r="AC30" s="7">
        <v>9792</v>
      </c>
      <c r="AD30" s="7">
        <v>2477</v>
      </c>
      <c r="AE30" s="7">
        <v>9767</v>
      </c>
      <c r="AF30" s="7">
        <v>3580</v>
      </c>
      <c r="AG30" s="7">
        <v>1391</v>
      </c>
      <c r="AH30" s="7">
        <v>8088</v>
      </c>
      <c r="AI30" s="7">
        <v>5099</v>
      </c>
      <c r="AJ30" s="7">
        <v>6478</v>
      </c>
      <c r="AK30" s="7">
        <v>5563</v>
      </c>
      <c r="AL30" s="7">
        <v>2092</v>
      </c>
      <c r="AM30" s="7">
        <v>8708</v>
      </c>
      <c r="AN30" s="7">
        <v>5589</v>
      </c>
      <c r="AO30" s="7">
        <v>116</v>
      </c>
      <c r="AQ30" s="7"/>
      <c r="AR30" s="7"/>
    </row>
    <row r="31" spans="1:44" x14ac:dyDescent="0.25">
      <c r="A31" s="6" t="s">
        <v>112</v>
      </c>
      <c r="B31" s="6" t="s">
        <v>169</v>
      </c>
      <c r="C31" s="6" t="s">
        <v>64</v>
      </c>
      <c r="D31" s="6" t="s">
        <v>251</v>
      </c>
      <c r="E31" s="6" t="s">
        <v>46</v>
      </c>
      <c r="F31" s="7">
        <v>9574</v>
      </c>
      <c r="G31" s="7">
        <v>9952</v>
      </c>
      <c r="H31" s="7">
        <v>9532</v>
      </c>
      <c r="I31" s="7">
        <v>3745</v>
      </c>
      <c r="J31" s="7">
        <v>5611</v>
      </c>
      <c r="K31" s="7">
        <v>1298</v>
      </c>
      <c r="L31" s="7">
        <v>1261</v>
      </c>
      <c r="M31" s="7">
        <v>1557</v>
      </c>
      <c r="N31" s="7">
        <v>9072</v>
      </c>
      <c r="O31" s="7">
        <v>9219</v>
      </c>
      <c r="P31" s="7">
        <v>8231</v>
      </c>
      <c r="Q31" s="7">
        <v>5835</v>
      </c>
      <c r="R31" s="7">
        <v>1167</v>
      </c>
      <c r="S31" s="7">
        <v>5721</v>
      </c>
      <c r="T31" s="7">
        <v>954</v>
      </c>
      <c r="U31" s="7">
        <v>8780</v>
      </c>
      <c r="V31" s="7">
        <v>876</v>
      </c>
      <c r="W31" s="7">
        <v>9732</v>
      </c>
      <c r="X31" s="7">
        <v>6638</v>
      </c>
      <c r="Y31" s="7">
        <v>9216</v>
      </c>
      <c r="Z31" s="7">
        <v>7554</v>
      </c>
      <c r="AA31" s="7">
        <v>7925</v>
      </c>
      <c r="AB31" s="7">
        <v>6792</v>
      </c>
      <c r="AC31" s="7">
        <v>4648</v>
      </c>
      <c r="AD31" s="7">
        <v>6718</v>
      </c>
      <c r="AE31" s="7">
        <v>5441</v>
      </c>
      <c r="AF31" s="7">
        <v>6968</v>
      </c>
      <c r="AG31" s="7">
        <v>5513</v>
      </c>
      <c r="AH31" s="7">
        <v>1558</v>
      </c>
      <c r="AI31" s="7">
        <v>1876</v>
      </c>
      <c r="AJ31" s="7">
        <v>3421</v>
      </c>
      <c r="AK31" s="7">
        <v>8067</v>
      </c>
      <c r="AL31" s="7">
        <v>601</v>
      </c>
      <c r="AM31" s="7">
        <v>8489</v>
      </c>
      <c r="AN31" s="7">
        <v>6599</v>
      </c>
      <c r="AO31" s="7">
        <v>8793</v>
      </c>
      <c r="AQ31" s="7"/>
      <c r="AR31" s="7"/>
    </row>
    <row r="32" spans="1:44" x14ac:dyDescent="0.25">
      <c r="A32" s="6" t="s">
        <v>112</v>
      </c>
      <c r="B32" s="6" t="s">
        <v>169</v>
      </c>
      <c r="C32" s="6" t="s">
        <v>35</v>
      </c>
      <c r="D32" s="6" t="s">
        <v>252</v>
      </c>
      <c r="E32" s="6" t="s">
        <v>36</v>
      </c>
      <c r="F32" s="7">
        <v>9830</v>
      </c>
      <c r="G32" s="7">
        <v>2789</v>
      </c>
      <c r="H32" s="7">
        <v>873</v>
      </c>
      <c r="I32" s="7">
        <v>3508</v>
      </c>
      <c r="J32" s="7">
        <v>7548</v>
      </c>
      <c r="K32" s="7">
        <v>8993</v>
      </c>
      <c r="L32" s="7">
        <v>6550</v>
      </c>
      <c r="M32" s="7">
        <v>2243</v>
      </c>
      <c r="N32" s="7">
        <v>4052</v>
      </c>
      <c r="O32" s="7">
        <v>5067</v>
      </c>
      <c r="P32" s="7">
        <v>9420</v>
      </c>
      <c r="Q32" s="7">
        <v>2881</v>
      </c>
      <c r="R32" s="7">
        <v>5804</v>
      </c>
      <c r="S32" s="7">
        <v>1335</v>
      </c>
      <c r="T32" s="7">
        <v>8620</v>
      </c>
      <c r="U32" s="7">
        <v>4416</v>
      </c>
      <c r="V32" s="7">
        <v>8227</v>
      </c>
      <c r="W32" s="7">
        <v>2472</v>
      </c>
      <c r="X32" s="7">
        <v>8298</v>
      </c>
      <c r="Y32" s="7">
        <v>7470</v>
      </c>
      <c r="Z32" s="7">
        <v>1162</v>
      </c>
      <c r="AA32" s="7">
        <v>4233</v>
      </c>
      <c r="AB32" s="7">
        <v>1157</v>
      </c>
      <c r="AC32" s="7">
        <v>4165</v>
      </c>
      <c r="AD32" s="7">
        <v>1634</v>
      </c>
      <c r="AE32" s="7">
        <v>1608</v>
      </c>
      <c r="AF32" s="7">
        <v>6028</v>
      </c>
      <c r="AG32" s="7">
        <v>8911</v>
      </c>
      <c r="AH32" s="7">
        <v>2965</v>
      </c>
      <c r="AI32" s="7">
        <v>5706</v>
      </c>
      <c r="AJ32" s="7">
        <v>1898</v>
      </c>
      <c r="AK32" s="7">
        <v>9543</v>
      </c>
      <c r="AL32" s="7">
        <v>8802</v>
      </c>
      <c r="AM32" s="7">
        <v>9320</v>
      </c>
      <c r="AN32" s="7">
        <v>5630</v>
      </c>
      <c r="AO32" s="7">
        <v>9969</v>
      </c>
      <c r="AQ32" s="7"/>
      <c r="AR32" s="7"/>
    </row>
    <row r="33" spans="1:44" x14ac:dyDescent="0.25">
      <c r="A33" s="6" t="s">
        <v>112</v>
      </c>
      <c r="B33" s="6" t="s">
        <v>169</v>
      </c>
      <c r="C33" s="6" t="s">
        <v>69</v>
      </c>
      <c r="D33" s="6" t="s">
        <v>231</v>
      </c>
      <c r="E33" s="6" t="s">
        <v>70</v>
      </c>
      <c r="F33" s="7">
        <v>5978</v>
      </c>
      <c r="G33" s="7">
        <v>8191</v>
      </c>
      <c r="H33" s="7">
        <v>7183</v>
      </c>
      <c r="I33" s="7">
        <v>2104</v>
      </c>
      <c r="J33" s="7">
        <v>4202</v>
      </c>
      <c r="K33" s="7">
        <v>4796</v>
      </c>
      <c r="L33" s="7">
        <v>9167</v>
      </c>
      <c r="M33" s="7">
        <v>2639</v>
      </c>
      <c r="N33" s="7">
        <v>3676</v>
      </c>
      <c r="O33" s="7">
        <v>2551</v>
      </c>
      <c r="P33" s="7">
        <v>1808</v>
      </c>
      <c r="Q33" s="7">
        <v>9748</v>
      </c>
      <c r="R33" s="7">
        <v>7634</v>
      </c>
      <c r="S33" s="7">
        <v>7782</v>
      </c>
      <c r="T33" s="7">
        <v>3419</v>
      </c>
      <c r="U33" s="7">
        <v>3371</v>
      </c>
      <c r="V33" s="7">
        <v>5728</v>
      </c>
      <c r="W33" s="7">
        <v>4106</v>
      </c>
      <c r="X33" s="7">
        <v>4137</v>
      </c>
      <c r="Y33" s="7">
        <v>4878</v>
      </c>
      <c r="Z33" s="7">
        <v>1136</v>
      </c>
      <c r="AA33" s="7">
        <v>3655</v>
      </c>
      <c r="AB33" s="7">
        <v>5042</v>
      </c>
      <c r="AC33" s="7">
        <v>4031</v>
      </c>
      <c r="AD33" s="7">
        <v>9509</v>
      </c>
      <c r="AE33" s="7">
        <v>8274</v>
      </c>
      <c r="AF33" s="7">
        <v>6118</v>
      </c>
      <c r="AG33" s="7">
        <v>3134</v>
      </c>
      <c r="AH33" s="7">
        <v>6570</v>
      </c>
      <c r="AI33" s="7">
        <v>6410</v>
      </c>
      <c r="AJ33" s="7">
        <v>889</v>
      </c>
      <c r="AK33" s="7">
        <v>835</v>
      </c>
      <c r="AL33" s="7">
        <v>3643</v>
      </c>
      <c r="AM33" s="7">
        <v>2985</v>
      </c>
      <c r="AN33" s="7">
        <v>9540</v>
      </c>
      <c r="AO33" s="7">
        <v>6830</v>
      </c>
      <c r="AQ33" s="7"/>
      <c r="AR33" s="7"/>
    </row>
    <row r="34" spans="1:44" x14ac:dyDescent="0.25">
      <c r="A34" s="6" t="s">
        <v>112</v>
      </c>
      <c r="B34" s="6" t="s">
        <v>169</v>
      </c>
      <c r="C34" s="6" t="s">
        <v>86</v>
      </c>
      <c r="D34" s="6" t="s">
        <v>246</v>
      </c>
      <c r="E34" s="6" t="s">
        <v>29</v>
      </c>
      <c r="F34" s="7">
        <v>5557</v>
      </c>
      <c r="G34" s="7">
        <v>1265</v>
      </c>
      <c r="H34" s="7">
        <v>9927</v>
      </c>
      <c r="I34" s="7">
        <v>4912</v>
      </c>
      <c r="J34" s="7">
        <v>7225</v>
      </c>
      <c r="K34" s="7">
        <v>4745</v>
      </c>
      <c r="L34" s="7">
        <v>5463</v>
      </c>
      <c r="M34" s="7">
        <v>916</v>
      </c>
      <c r="N34" s="7">
        <v>935</v>
      </c>
      <c r="O34" s="7">
        <v>8428</v>
      </c>
      <c r="P34" s="7">
        <v>6561</v>
      </c>
      <c r="Q34" s="7">
        <v>5988</v>
      </c>
      <c r="R34" s="7">
        <v>5115</v>
      </c>
      <c r="S34" s="7">
        <v>7433</v>
      </c>
      <c r="T34" s="7">
        <v>6331</v>
      </c>
      <c r="U34" s="7">
        <v>1420</v>
      </c>
      <c r="V34" s="7">
        <v>9537</v>
      </c>
      <c r="W34" s="7">
        <v>9486</v>
      </c>
      <c r="X34" s="7">
        <v>5437</v>
      </c>
      <c r="Y34" s="7">
        <v>4710</v>
      </c>
      <c r="Z34" s="7">
        <v>453</v>
      </c>
      <c r="AA34" s="7">
        <v>2425</v>
      </c>
      <c r="AB34" s="7">
        <v>3965</v>
      </c>
      <c r="AC34" s="7">
        <v>558</v>
      </c>
      <c r="AD34" s="7">
        <v>6494</v>
      </c>
      <c r="AE34" s="7">
        <v>64</v>
      </c>
      <c r="AF34" s="7">
        <v>822</v>
      </c>
      <c r="AG34" s="7">
        <v>2876</v>
      </c>
      <c r="AH34" s="7">
        <v>968</v>
      </c>
      <c r="AI34" s="7">
        <v>2437</v>
      </c>
      <c r="AJ34" s="7">
        <v>2599</v>
      </c>
      <c r="AK34" s="7">
        <v>8922</v>
      </c>
      <c r="AL34" s="7">
        <v>7577</v>
      </c>
      <c r="AM34" s="7">
        <v>8667</v>
      </c>
      <c r="AN34" s="7">
        <v>3737</v>
      </c>
      <c r="AO34" s="7">
        <v>3707</v>
      </c>
      <c r="AQ34" s="7"/>
      <c r="AR34" s="7"/>
    </row>
    <row r="35" spans="1:44" x14ac:dyDescent="0.25">
      <c r="A35" s="6" t="s">
        <v>134</v>
      </c>
      <c r="B35" s="6" t="s">
        <v>170</v>
      </c>
      <c r="C35" s="6" t="s">
        <v>133</v>
      </c>
      <c r="D35" s="6" t="s">
        <v>253</v>
      </c>
      <c r="E35" s="6" t="s">
        <v>33</v>
      </c>
      <c r="F35" s="7">
        <v>8750</v>
      </c>
      <c r="G35" s="7">
        <v>4968</v>
      </c>
      <c r="H35" s="7">
        <v>2248</v>
      </c>
      <c r="I35" s="7">
        <v>9435</v>
      </c>
      <c r="J35" s="7">
        <v>4291</v>
      </c>
      <c r="K35" s="7">
        <v>5255</v>
      </c>
      <c r="L35" s="7">
        <v>2967</v>
      </c>
      <c r="M35" s="7">
        <v>8516</v>
      </c>
      <c r="N35" s="7">
        <v>7300</v>
      </c>
      <c r="O35" s="7">
        <v>2915</v>
      </c>
      <c r="P35" s="7">
        <v>4976</v>
      </c>
      <c r="Q35" s="7">
        <v>6875</v>
      </c>
      <c r="R35" s="7">
        <v>7523</v>
      </c>
      <c r="S35" s="7">
        <v>1085</v>
      </c>
      <c r="T35" s="7">
        <v>8831</v>
      </c>
      <c r="U35" s="7">
        <v>7337</v>
      </c>
      <c r="V35" s="7">
        <v>4145</v>
      </c>
      <c r="W35" s="7">
        <v>3381</v>
      </c>
      <c r="X35" s="7">
        <v>2751</v>
      </c>
      <c r="Y35" s="7">
        <v>8746</v>
      </c>
      <c r="Z35" s="7">
        <v>4606</v>
      </c>
      <c r="AA35" s="7">
        <v>8093</v>
      </c>
      <c r="AB35" s="7">
        <v>2583</v>
      </c>
      <c r="AC35" s="7">
        <v>8096</v>
      </c>
      <c r="AD35" s="7">
        <v>181</v>
      </c>
      <c r="AE35" s="7">
        <v>3081</v>
      </c>
      <c r="AF35" s="7">
        <v>4634</v>
      </c>
      <c r="AG35" s="7">
        <v>4771</v>
      </c>
      <c r="AH35" s="7">
        <v>8836</v>
      </c>
      <c r="AI35" s="7">
        <v>7340</v>
      </c>
      <c r="AJ35" s="7">
        <v>9297</v>
      </c>
      <c r="AK35" s="7">
        <v>9375</v>
      </c>
      <c r="AL35" s="7">
        <v>5241</v>
      </c>
      <c r="AM35" s="7">
        <v>8498</v>
      </c>
      <c r="AN35" s="7">
        <v>1674</v>
      </c>
      <c r="AO35" s="7">
        <v>4213</v>
      </c>
      <c r="AQ35" s="7"/>
      <c r="AR35" s="7"/>
    </row>
    <row r="36" spans="1:44" x14ac:dyDescent="0.25">
      <c r="A36" s="6" t="s">
        <v>134</v>
      </c>
      <c r="B36" s="6" t="s">
        <v>170</v>
      </c>
      <c r="C36" s="6" t="s">
        <v>80</v>
      </c>
      <c r="D36" s="6" t="s">
        <v>254</v>
      </c>
      <c r="E36" s="6" t="s">
        <v>36</v>
      </c>
      <c r="F36" s="7">
        <v>9419</v>
      </c>
      <c r="G36" s="7">
        <v>7804</v>
      </c>
      <c r="H36" s="7">
        <v>7051</v>
      </c>
      <c r="I36" s="7">
        <v>549</v>
      </c>
      <c r="J36" s="7">
        <v>1040</v>
      </c>
      <c r="K36" s="7">
        <v>5134</v>
      </c>
      <c r="L36" s="7">
        <v>8000</v>
      </c>
      <c r="M36" s="7">
        <v>4615</v>
      </c>
      <c r="N36" s="7">
        <v>3</v>
      </c>
      <c r="O36" s="7">
        <v>2143</v>
      </c>
      <c r="P36" s="7">
        <v>3281</v>
      </c>
      <c r="Q36" s="7">
        <v>71</v>
      </c>
      <c r="R36" s="7">
        <v>6685</v>
      </c>
      <c r="S36" s="7">
        <v>1728</v>
      </c>
      <c r="T36" s="7">
        <v>2569</v>
      </c>
      <c r="U36" s="7">
        <v>9480</v>
      </c>
      <c r="V36" s="7">
        <v>754</v>
      </c>
      <c r="W36" s="7">
        <v>4503</v>
      </c>
      <c r="X36" s="7">
        <v>5954</v>
      </c>
      <c r="Y36" s="7">
        <v>3334</v>
      </c>
      <c r="Z36" s="7">
        <v>4967</v>
      </c>
      <c r="AA36" s="7">
        <v>8474</v>
      </c>
      <c r="AB36" s="7">
        <v>3262</v>
      </c>
      <c r="AC36" s="7">
        <v>2109</v>
      </c>
      <c r="AD36" s="7">
        <v>2980</v>
      </c>
      <c r="AE36" s="7">
        <v>573</v>
      </c>
      <c r="AF36" s="7">
        <v>5777</v>
      </c>
      <c r="AG36" s="7">
        <v>1405</v>
      </c>
      <c r="AH36" s="7">
        <v>3871</v>
      </c>
      <c r="AI36" s="7">
        <v>858</v>
      </c>
      <c r="AJ36" s="7">
        <v>7073</v>
      </c>
      <c r="AK36" s="7">
        <v>5906</v>
      </c>
      <c r="AL36" s="7">
        <v>1175</v>
      </c>
      <c r="AM36" s="7">
        <v>8837</v>
      </c>
      <c r="AN36" s="7">
        <v>4657</v>
      </c>
      <c r="AO36" s="7">
        <v>6143</v>
      </c>
      <c r="AQ36" s="7"/>
      <c r="AR36" s="7"/>
    </row>
    <row r="37" spans="1:44" x14ac:dyDescent="0.25">
      <c r="A37" s="6" t="s">
        <v>71</v>
      </c>
      <c r="B37" s="6" t="s">
        <v>171</v>
      </c>
      <c r="C37" s="6" t="s">
        <v>76</v>
      </c>
      <c r="D37" s="6" t="s">
        <v>255</v>
      </c>
      <c r="E37" s="6" t="s">
        <v>33</v>
      </c>
      <c r="F37" s="7">
        <v>6936</v>
      </c>
      <c r="G37" s="7">
        <v>7037</v>
      </c>
      <c r="H37" s="7">
        <v>4783</v>
      </c>
      <c r="I37" s="7">
        <v>8971</v>
      </c>
      <c r="J37" s="7">
        <v>9083</v>
      </c>
      <c r="K37" s="7">
        <v>8734</v>
      </c>
      <c r="L37" s="7">
        <v>2887</v>
      </c>
      <c r="M37" s="7">
        <v>8942</v>
      </c>
      <c r="N37" s="7">
        <v>2087</v>
      </c>
      <c r="O37" s="7">
        <v>3671</v>
      </c>
      <c r="P37" s="7">
        <v>2615</v>
      </c>
      <c r="Q37" s="7">
        <v>7121</v>
      </c>
      <c r="R37" s="7">
        <v>9060</v>
      </c>
      <c r="S37" s="7">
        <v>7466</v>
      </c>
      <c r="T37" s="7">
        <v>2398</v>
      </c>
      <c r="U37" s="7">
        <v>6208</v>
      </c>
      <c r="V37" s="7">
        <v>2200</v>
      </c>
      <c r="W37" s="7">
        <v>7989</v>
      </c>
      <c r="X37" s="7">
        <v>9847</v>
      </c>
      <c r="Y37" s="7">
        <v>5824</v>
      </c>
      <c r="Z37" s="7">
        <v>4238</v>
      </c>
      <c r="AA37" s="7">
        <v>4976</v>
      </c>
      <c r="AB37" s="7">
        <v>3816</v>
      </c>
      <c r="AC37" s="7">
        <v>2916</v>
      </c>
      <c r="AD37" s="7">
        <v>6045</v>
      </c>
      <c r="AE37" s="7">
        <v>8141</v>
      </c>
      <c r="AF37" s="7">
        <v>1705</v>
      </c>
      <c r="AG37" s="7">
        <v>3846</v>
      </c>
      <c r="AH37" s="7">
        <v>7909</v>
      </c>
      <c r="AI37" s="7">
        <v>490</v>
      </c>
      <c r="AJ37" s="7">
        <v>6031</v>
      </c>
      <c r="AK37" s="7">
        <v>6954</v>
      </c>
      <c r="AL37" s="7">
        <v>9957</v>
      </c>
      <c r="AM37" s="7">
        <v>8891</v>
      </c>
      <c r="AN37" s="7">
        <v>4299</v>
      </c>
      <c r="AO37" s="7">
        <v>4625</v>
      </c>
      <c r="AQ37" s="7"/>
      <c r="AR37" s="7"/>
    </row>
    <row r="38" spans="1:44" x14ac:dyDescent="0.25">
      <c r="A38" s="6" t="s">
        <v>71</v>
      </c>
      <c r="B38" s="6" t="s">
        <v>171</v>
      </c>
      <c r="C38" s="6" t="s">
        <v>32</v>
      </c>
      <c r="D38" s="6" t="s">
        <v>256</v>
      </c>
      <c r="E38" s="6" t="s">
        <v>33</v>
      </c>
      <c r="F38" s="7">
        <v>521</v>
      </c>
      <c r="G38" s="7">
        <v>5114</v>
      </c>
      <c r="H38" s="7">
        <v>5412</v>
      </c>
      <c r="I38" s="7">
        <v>6530</v>
      </c>
      <c r="J38" s="7">
        <v>9593</v>
      </c>
      <c r="K38" s="7">
        <v>4882</v>
      </c>
      <c r="L38" s="7">
        <v>9680</v>
      </c>
      <c r="M38" s="7">
        <v>8750</v>
      </c>
      <c r="N38" s="7">
        <v>1604</v>
      </c>
      <c r="O38" s="7">
        <v>3967</v>
      </c>
      <c r="P38" s="7">
        <v>6786</v>
      </c>
      <c r="Q38" s="7">
        <v>3822</v>
      </c>
      <c r="R38" s="7">
        <v>5781</v>
      </c>
      <c r="S38" s="7">
        <v>3568</v>
      </c>
      <c r="T38" s="7">
        <v>2030</v>
      </c>
      <c r="U38" s="7">
        <v>6016</v>
      </c>
      <c r="V38" s="7">
        <v>6865</v>
      </c>
      <c r="W38" s="7">
        <v>3226</v>
      </c>
      <c r="X38" s="7">
        <v>3120</v>
      </c>
      <c r="Y38" s="7">
        <v>3706</v>
      </c>
      <c r="Z38" s="7">
        <v>4617</v>
      </c>
      <c r="AA38" s="7">
        <v>9494</v>
      </c>
      <c r="AB38" s="7">
        <v>2039</v>
      </c>
      <c r="AC38" s="7">
        <v>8032</v>
      </c>
      <c r="AD38" s="7">
        <v>9864</v>
      </c>
      <c r="AE38" s="7">
        <v>2865</v>
      </c>
      <c r="AF38" s="7">
        <v>9204</v>
      </c>
      <c r="AG38" s="7">
        <v>8953</v>
      </c>
      <c r="AH38" s="7">
        <v>1806</v>
      </c>
      <c r="AI38" s="7">
        <v>582</v>
      </c>
      <c r="AJ38" s="7">
        <v>8232</v>
      </c>
      <c r="AK38" s="7">
        <v>4592</v>
      </c>
      <c r="AL38" s="7">
        <v>8659</v>
      </c>
      <c r="AM38" s="7">
        <v>5409</v>
      </c>
      <c r="AN38" s="7">
        <v>5046</v>
      </c>
      <c r="AO38" s="7">
        <v>7224</v>
      </c>
      <c r="AQ38" s="7"/>
      <c r="AR38" s="7"/>
    </row>
    <row r="39" spans="1:44" x14ac:dyDescent="0.25">
      <c r="A39" s="6" t="s">
        <v>71</v>
      </c>
      <c r="B39" s="6" t="s">
        <v>171</v>
      </c>
      <c r="C39" s="6" t="s">
        <v>91</v>
      </c>
      <c r="D39" s="6" t="s">
        <v>257</v>
      </c>
      <c r="E39" s="6" t="s">
        <v>29</v>
      </c>
      <c r="F39" s="7">
        <v>1319</v>
      </c>
      <c r="G39" s="7">
        <v>9070</v>
      </c>
      <c r="H39" s="7">
        <v>4803</v>
      </c>
      <c r="I39" s="7">
        <v>1217</v>
      </c>
      <c r="J39" s="7">
        <v>2764</v>
      </c>
      <c r="K39" s="7">
        <v>885</v>
      </c>
      <c r="L39" s="7">
        <v>8751</v>
      </c>
      <c r="M39" s="7">
        <v>1888</v>
      </c>
      <c r="N39" s="7">
        <v>4721</v>
      </c>
      <c r="O39" s="7">
        <v>9902</v>
      </c>
      <c r="P39" s="7">
        <v>3767</v>
      </c>
      <c r="Q39" s="7">
        <v>9214</v>
      </c>
      <c r="R39" s="7">
        <v>2641</v>
      </c>
      <c r="S39" s="7">
        <v>7380</v>
      </c>
      <c r="T39" s="7">
        <v>7445</v>
      </c>
      <c r="U39" s="7">
        <v>6722</v>
      </c>
      <c r="V39" s="7">
        <v>4655</v>
      </c>
      <c r="W39" s="7">
        <v>9637</v>
      </c>
      <c r="X39" s="7">
        <v>4200</v>
      </c>
      <c r="Y39" s="7">
        <v>446</v>
      </c>
      <c r="Z39" s="7">
        <v>9795</v>
      </c>
      <c r="AA39" s="7">
        <v>9967</v>
      </c>
      <c r="AB39" s="7">
        <v>9996</v>
      </c>
      <c r="AC39" s="7">
        <v>6</v>
      </c>
      <c r="AD39" s="7">
        <v>8659</v>
      </c>
      <c r="AE39" s="7">
        <v>1003</v>
      </c>
      <c r="AF39" s="7">
        <v>5532</v>
      </c>
      <c r="AG39" s="7">
        <v>5260</v>
      </c>
      <c r="AH39" s="7">
        <v>3966</v>
      </c>
      <c r="AI39" s="7">
        <v>2089</v>
      </c>
      <c r="AJ39" s="7">
        <v>2438</v>
      </c>
      <c r="AK39" s="7">
        <v>3589</v>
      </c>
      <c r="AL39" s="7">
        <v>4943</v>
      </c>
      <c r="AM39" s="7">
        <v>2407</v>
      </c>
      <c r="AN39" s="7">
        <v>4419</v>
      </c>
      <c r="AO39" s="7">
        <v>1129</v>
      </c>
      <c r="AQ39" s="7"/>
      <c r="AR39" s="7"/>
    </row>
    <row r="40" spans="1:44" x14ac:dyDescent="0.25">
      <c r="A40" s="6" t="s">
        <v>71</v>
      </c>
      <c r="B40" s="6" t="s">
        <v>171</v>
      </c>
      <c r="C40" s="6" t="s">
        <v>72</v>
      </c>
      <c r="D40" s="6" t="s">
        <v>240</v>
      </c>
      <c r="E40" s="6" t="s">
        <v>26</v>
      </c>
      <c r="F40" s="7">
        <v>7198</v>
      </c>
      <c r="G40" s="7">
        <v>2407</v>
      </c>
      <c r="H40" s="7">
        <v>7612</v>
      </c>
      <c r="I40" s="7">
        <v>2809</v>
      </c>
      <c r="J40" s="7">
        <v>1218</v>
      </c>
      <c r="K40" s="7">
        <v>3376</v>
      </c>
      <c r="L40" s="7">
        <v>5464</v>
      </c>
      <c r="M40" s="7">
        <v>3111</v>
      </c>
      <c r="N40" s="7">
        <v>1615</v>
      </c>
      <c r="O40" s="7">
        <v>1754</v>
      </c>
      <c r="P40" s="7">
        <v>2894</v>
      </c>
      <c r="Q40" s="7">
        <v>7190</v>
      </c>
      <c r="R40" s="7">
        <v>6118</v>
      </c>
      <c r="S40" s="7">
        <v>5255</v>
      </c>
      <c r="T40" s="7">
        <v>9802</v>
      </c>
      <c r="U40" s="7">
        <v>3974</v>
      </c>
      <c r="V40" s="7">
        <v>9344</v>
      </c>
      <c r="W40" s="7">
        <v>4235</v>
      </c>
      <c r="X40" s="7">
        <v>2831</v>
      </c>
      <c r="Y40" s="7">
        <v>7100</v>
      </c>
      <c r="Z40" s="7">
        <v>3556</v>
      </c>
      <c r="AA40" s="7">
        <v>7756</v>
      </c>
      <c r="AB40" s="7">
        <v>3186</v>
      </c>
      <c r="AC40" s="7">
        <v>6972</v>
      </c>
      <c r="AD40" s="7">
        <v>3820</v>
      </c>
      <c r="AE40" s="7">
        <v>1819</v>
      </c>
      <c r="AF40" s="7">
        <v>8909</v>
      </c>
      <c r="AG40" s="7">
        <v>4925</v>
      </c>
      <c r="AH40" s="7">
        <v>1640</v>
      </c>
      <c r="AI40" s="7">
        <v>8245</v>
      </c>
      <c r="AJ40" s="7">
        <v>3104</v>
      </c>
      <c r="AK40" s="7">
        <v>65</v>
      </c>
      <c r="AL40" s="7">
        <v>2812</v>
      </c>
      <c r="AM40" s="7">
        <v>6033</v>
      </c>
      <c r="AN40" s="7">
        <v>7686</v>
      </c>
      <c r="AO40" s="7">
        <v>1155</v>
      </c>
      <c r="AQ40" s="7"/>
      <c r="AR40" s="7"/>
    </row>
    <row r="41" spans="1:44" x14ac:dyDescent="0.25">
      <c r="A41" s="6" t="s">
        <v>71</v>
      </c>
      <c r="B41" s="6" t="s">
        <v>171</v>
      </c>
      <c r="C41" s="6" t="s">
        <v>66</v>
      </c>
      <c r="D41" s="6" t="s">
        <v>258</v>
      </c>
      <c r="E41" s="6" t="s">
        <v>29</v>
      </c>
      <c r="F41" s="7">
        <v>7788</v>
      </c>
      <c r="G41" s="7">
        <v>1751</v>
      </c>
      <c r="H41" s="7">
        <v>2471</v>
      </c>
      <c r="I41" s="7">
        <v>2873</v>
      </c>
      <c r="J41" s="7">
        <v>3505</v>
      </c>
      <c r="K41" s="7">
        <v>6113</v>
      </c>
      <c r="L41" s="7">
        <v>2206</v>
      </c>
      <c r="M41" s="7">
        <v>6271</v>
      </c>
      <c r="N41" s="7">
        <v>8820</v>
      </c>
      <c r="O41" s="7">
        <v>3270</v>
      </c>
      <c r="P41" s="7">
        <v>2235</v>
      </c>
      <c r="Q41" s="7">
        <v>2795</v>
      </c>
      <c r="R41" s="7">
        <v>23</v>
      </c>
      <c r="S41" s="7">
        <v>3818</v>
      </c>
      <c r="T41" s="7">
        <v>1991</v>
      </c>
      <c r="U41" s="7">
        <v>8576</v>
      </c>
      <c r="V41" s="7">
        <v>9303</v>
      </c>
      <c r="W41" s="7">
        <v>1003</v>
      </c>
      <c r="X41" s="7">
        <v>2312</v>
      </c>
      <c r="Y41" s="7">
        <v>5093</v>
      </c>
      <c r="Z41" s="7">
        <v>1857</v>
      </c>
      <c r="AA41" s="7">
        <v>3745</v>
      </c>
      <c r="AB41" s="7">
        <v>6075</v>
      </c>
      <c r="AC41" s="7">
        <v>100</v>
      </c>
      <c r="AD41" s="7">
        <v>5608</v>
      </c>
      <c r="AE41" s="7">
        <v>9586</v>
      </c>
      <c r="AF41" s="7">
        <v>8456</v>
      </c>
      <c r="AG41" s="7">
        <v>4647</v>
      </c>
      <c r="AH41" s="7">
        <v>8685</v>
      </c>
      <c r="AI41" s="7">
        <v>6756</v>
      </c>
      <c r="AJ41" s="7">
        <v>7200</v>
      </c>
      <c r="AK41" s="7">
        <v>1924</v>
      </c>
      <c r="AL41" s="7">
        <v>7734</v>
      </c>
      <c r="AM41" s="7">
        <v>2433</v>
      </c>
      <c r="AN41" s="7">
        <v>2135</v>
      </c>
      <c r="AO41" s="7">
        <v>3253</v>
      </c>
      <c r="AQ41" s="7"/>
      <c r="AR41" s="7"/>
    </row>
    <row r="42" spans="1:44" x14ac:dyDescent="0.25">
      <c r="A42" s="6" t="s">
        <v>151</v>
      </c>
      <c r="B42" s="6" t="s">
        <v>172</v>
      </c>
      <c r="C42" s="6" t="s">
        <v>95</v>
      </c>
      <c r="D42" s="6" t="s">
        <v>259</v>
      </c>
      <c r="E42" s="6" t="s">
        <v>75</v>
      </c>
      <c r="F42" s="7">
        <v>3077</v>
      </c>
      <c r="G42" s="7">
        <v>2526</v>
      </c>
      <c r="H42" s="7">
        <v>4234</v>
      </c>
      <c r="I42" s="7">
        <v>113</v>
      </c>
      <c r="J42" s="7">
        <v>8316</v>
      </c>
      <c r="K42" s="7">
        <v>8167</v>
      </c>
      <c r="L42" s="7">
        <v>3943</v>
      </c>
      <c r="M42" s="7">
        <v>4747</v>
      </c>
      <c r="N42" s="7">
        <v>4128</v>
      </c>
      <c r="O42" s="7">
        <v>7019</v>
      </c>
      <c r="P42" s="7">
        <v>4270</v>
      </c>
      <c r="Q42" s="7">
        <v>3929</v>
      </c>
      <c r="R42" s="7">
        <v>5630</v>
      </c>
      <c r="S42" s="7">
        <v>8356</v>
      </c>
      <c r="T42" s="7">
        <v>3870</v>
      </c>
      <c r="U42" s="7">
        <v>7054</v>
      </c>
      <c r="V42" s="7">
        <v>8558</v>
      </c>
      <c r="W42" s="7">
        <v>3484</v>
      </c>
      <c r="X42" s="7">
        <v>3487</v>
      </c>
      <c r="Y42" s="7">
        <v>413</v>
      </c>
      <c r="Z42" s="7">
        <v>2157</v>
      </c>
      <c r="AA42" s="7">
        <v>2933</v>
      </c>
      <c r="AB42" s="7">
        <v>7967</v>
      </c>
      <c r="AC42" s="7">
        <v>4482</v>
      </c>
      <c r="AD42" s="7">
        <v>3797</v>
      </c>
      <c r="AE42" s="7">
        <v>5158</v>
      </c>
      <c r="AF42" s="7">
        <v>49</v>
      </c>
      <c r="AG42" s="7">
        <v>5488</v>
      </c>
      <c r="AH42" s="7">
        <v>1373</v>
      </c>
      <c r="AI42" s="7">
        <v>5323</v>
      </c>
      <c r="AJ42" s="7">
        <v>4018</v>
      </c>
      <c r="AK42" s="7">
        <v>40</v>
      </c>
      <c r="AL42" s="7">
        <v>2392</v>
      </c>
      <c r="AM42" s="7">
        <v>8682</v>
      </c>
      <c r="AN42" s="7">
        <v>7045</v>
      </c>
      <c r="AO42" s="7">
        <v>7377</v>
      </c>
      <c r="AQ42" s="7"/>
      <c r="AR42" s="7"/>
    </row>
    <row r="43" spans="1:44" x14ac:dyDescent="0.25">
      <c r="A43" s="6" t="s">
        <v>138</v>
      </c>
      <c r="B43" s="6" t="s">
        <v>173</v>
      </c>
      <c r="C43" s="6" t="s">
        <v>32</v>
      </c>
      <c r="D43" s="6" t="s">
        <v>256</v>
      </c>
      <c r="E43" s="6" t="s">
        <v>33</v>
      </c>
      <c r="F43" s="7">
        <v>5705</v>
      </c>
      <c r="G43" s="7">
        <v>7392</v>
      </c>
      <c r="H43" s="7">
        <v>1619</v>
      </c>
      <c r="I43" s="7">
        <v>1167</v>
      </c>
      <c r="J43" s="7">
        <v>6899</v>
      </c>
      <c r="K43" s="7">
        <v>4261</v>
      </c>
      <c r="L43" s="7">
        <v>5701</v>
      </c>
      <c r="M43" s="7">
        <v>6009</v>
      </c>
      <c r="N43" s="7">
        <v>7679</v>
      </c>
      <c r="O43" s="7">
        <v>7702</v>
      </c>
      <c r="P43" s="7">
        <v>8603</v>
      </c>
      <c r="Q43" s="7">
        <v>783</v>
      </c>
      <c r="R43" s="7">
        <v>5508</v>
      </c>
      <c r="S43" s="7">
        <v>4809</v>
      </c>
      <c r="T43" s="7">
        <v>9687</v>
      </c>
      <c r="U43" s="7">
        <v>5457</v>
      </c>
      <c r="V43" s="7">
        <v>6971</v>
      </c>
      <c r="W43" s="7">
        <v>617</v>
      </c>
      <c r="X43" s="7">
        <v>5247</v>
      </c>
      <c r="Y43" s="7">
        <v>1721</v>
      </c>
      <c r="Z43" s="7">
        <v>191</v>
      </c>
      <c r="AA43" s="7">
        <v>1861</v>
      </c>
      <c r="AB43" s="7">
        <v>855</v>
      </c>
      <c r="AC43" s="7">
        <v>1769</v>
      </c>
      <c r="AD43" s="7">
        <v>4339</v>
      </c>
      <c r="AE43" s="7">
        <v>8783</v>
      </c>
      <c r="AF43" s="7">
        <v>7213</v>
      </c>
      <c r="AG43" s="7">
        <v>6432</v>
      </c>
      <c r="AH43" s="7">
        <v>299</v>
      </c>
      <c r="AI43" s="7">
        <v>903</v>
      </c>
      <c r="AJ43" s="7">
        <v>8553</v>
      </c>
      <c r="AK43" s="7">
        <v>2160</v>
      </c>
      <c r="AL43" s="7">
        <v>3943</v>
      </c>
      <c r="AM43" s="7">
        <v>7429</v>
      </c>
      <c r="AN43" s="7">
        <v>9234</v>
      </c>
      <c r="AO43" s="7">
        <v>5493</v>
      </c>
      <c r="AQ43" s="7"/>
      <c r="AR43" s="7"/>
    </row>
    <row r="44" spans="1:44" x14ac:dyDescent="0.25">
      <c r="A44" s="6" t="s">
        <v>149</v>
      </c>
      <c r="B44" s="6" t="s">
        <v>174</v>
      </c>
      <c r="C44" s="6" t="s">
        <v>62</v>
      </c>
      <c r="D44" s="6" t="s">
        <v>260</v>
      </c>
      <c r="E44" s="6" t="s">
        <v>46</v>
      </c>
      <c r="F44" s="7">
        <v>4523</v>
      </c>
      <c r="G44" s="7">
        <v>6629</v>
      </c>
      <c r="H44" s="7">
        <v>1923</v>
      </c>
      <c r="I44" s="7">
        <v>5899</v>
      </c>
      <c r="J44" s="7">
        <v>2701</v>
      </c>
      <c r="K44" s="7">
        <v>1426</v>
      </c>
      <c r="L44" s="7">
        <v>4707</v>
      </c>
      <c r="M44" s="7">
        <v>2366</v>
      </c>
      <c r="N44" s="7">
        <v>9318</v>
      </c>
      <c r="O44" s="7">
        <v>3966</v>
      </c>
      <c r="P44" s="7">
        <v>3296</v>
      </c>
      <c r="Q44" s="7">
        <v>4946</v>
      </c>
      <c r="R44" s="7">
        <v>8214</v>
      </c>
      <c r="S44" s="7">
        <v>2192</v>
      </c>
      <c r="T44" s="7">
        <v>7945</v>
      </c>
      <c r="U44" s="7">
        <v>9934</v>
      </c>
      <c r="V44" s="7">
        <v>1763</v>
      </c>
      <c r="W44" s="7">
        <v>9929</v>
      </c>
      <c r="X44" s="7">
        <v>1292</v>
      </c>
      <c r="Y44" s="7">
        <v>8641</v>
      </c>
      <c r="Z44" s="7">
        <v>7868</v>
      </c>
      <c r="AA44" s="7">
        <v>4442</v>
      </c>
      <c r="AB44" s="7">
        <v>5164</v>
      </c>
      <c r="AC44" s="7">
        <v>5211</v>
      </c>
      <c r="AD44" s="7">
        <v>7697</v>
      </c>
      <c r="AE44" s="7">
        <v>555</v>
      </c>
      <c r="AF44" s="7">
        <v>9921</v>
      </c>
      <c r="AG44" s="7">
        <v>8294</v>
      </c>
      <c r="AH44" s="7">
        <v>2751</v>
      </c>
      <c r="AI44" s="7">
        <v>7273</v>
      </c>
      <c r="AJ44" s="7">
        <v>4742</v>
      </c>
      <c r="AK44" s="7">
        <v>1308</v>
      </c>
      <c r="AL44" s="7">
        <v>1270</v>
      </c>
      <c r="AM44" s="7">
        <v>3582</v>
      </c>
      <c r="AN44" s="7">
        <v>6435</v>
      </c>
      <c r="AO44" s="7">
        <v>6708</v>
      </c>
      <c r="AQ44" s="7"/>
      <c r="AR44" s="7"/>
    </row>
    <row r="45" spans="1:44" x14ac:dyDescent="0.25">
      <c r="A45" s="6" t="s">
        <v>81</v>
      </c>
      <c r="B45" s="6" t="s">
        <v>175</v>
      </c>
      <c r="C45" s="6" t="s">
        <v>82</v>
      </c>
      <c r="D45" s="6" t="s">
        <v>261</v>
      </c>
      <c r="E45" s="6" t="s">
        <v>36</v>
      </c>
      <c r="F45" s="7">
        <v>9564</v>
      </c>
      <c r="G45" s="7">
        <v>1642</v>
      </c>
      <c r="H45" s="7">
        <v>7708</v>
      </c>
      <c r="I45" s="7">
        <v>8370</v>
      </c>
      <c r="J45" s="7">
        <v>8805</v>
      </c>
      <c r="K45" s="7">
        <v>5302</v>
      </c>
      <c r="L45" s="7">
        <v>8463</v>
      </c>
      <c r="M45" s="7">
        <v>8570</v>
      </c>
      <c r="N45" s="7">
        <v>5889</v>
      </c>
      <c r="O45" s="7">
        <v>8221</v>
      </c>
      <c r="P45" s="7">
        <v>7591</v>
      </c>
      <c r="Q45" s="7">
        <v>7063</v>
      </c>
      <c r="R45" s="7">
        <v>883</v>
      </c>
      <c r="S45" s="7">
        <v>6675</v>
      </c>
      <c r="T45" s="7">
        <v>8080</v>
      </c>
      <c r="U45" s="7">
        <v>6854</v>
      </c>
      <c r="V45" s="7">
        <v>3296</v>
      </c>
      <c r="W45" s="7">
        <v>6267</v>
      </c>
      <c r="X45" s="7">
        <v>3355</v>
      </c>
      <c r="Y45" s="7">
        <v>5296</v>
      </c>
      <c r="Z45" s="7">
        <v>2995</v>
      </c>
      <c r="AA45" s="7">
        <v>9037</v>
      </c>
      <c r="AB45" s="7">
        <v>7118</v>
      </c>
      <c r="AC45" s="7">
        <v>8763</v>
      </c>
      <c r="AD45" s="7">
        <v>7327</v>
      </c>
      <c r="AE45" s="7">
        <v>9829</v>
      </c>
      <c r="AF45" s="7">
        <v>4371</v>
      </c>
      <c r="AG45" s="7">
        <v>8692</v>
      </c>
      <c r="AH45" s="7">
        <v>8246</v>
      </c>
      <c r="AI45" s="7">
        <v>1602</v>
      </c>
      <c r="AJ45" s="7">
        <v>4037</v>
      </c>
      <c r="AK45" s="7">
        <v>6352</v>
      </c>
      <c r="AL45" s="7">
        <v>5562</v>
      </c>
      <c r="AM45" s="7">
        <v>9406</v>
      </c>
      <c r="AN45" s="7">
        <v>4216</v>
      </c>
      <c r="AO45" s="7">
        <v>4090</v>
      </c>
      <c r="AQ45" s="7"/>
      <c r="AR45" s="7"/>
    </row>
    <row r="46" spans="1:44" x14ac:dyDescent="0.25">
      <c r="A46" s="6" t="s">
        <v>81</v>
      </c>
      <c r="B46" s="6" t="s">
        <v>175</v>
      </c>
      <c r="C46" s="6" t="s">
        <v>118</v>
      </c>
      <c r="D46" s="6" t="s">
        <v>241</v>
      </c>
      <c r="E46" s="6" t="s">
        <v>36</v>
      </c>
      <c r="F46" s="7">
        <v>4491</v>
      </c>
      <c r="G46" s="7">
        <v>3210</v>
      </c>
      <c r="H46" s="7">
        <v>8543</v>
      </c>
      <c r="I46" s="7">
        <v>566</v>
      </c>
      <c r="J46" s="7">
        <v>1062</v>
      </c>
      <c r="K46" s="7">
        <v>2469</v>
      </c>
      <c r="L46" s="7">
        <v>5386</v>
      </c>
      <c r="M46" s="7">
        <v>1818</v>
      </c>
      <c r="N46" s="7">
        <v>3434</v>
      </c>
      <c r="O46" s="7">
        <v>5499</v>
      </c>
      <c r="P46" s="7">
        <v>6095</v>
      </c>
      <c r="Q46" s="7">
        <v>6876</v>
      </c>
      <c r="R46" s="7">
        <v>7749</v>
      </c>
      <c r="S46" s="7">
        <v>1953</v>
      </c>
      <c r="T46" s="7">
        <v>7404</v>
      </c>
      <c r="U46" s="7">
        <v>5531</v>
      </c>
      <c r="V46" s="7">
        <v>4293</v>
      </c>
      <c r="W46" s="7">
        <v>3490</v>
      </c>
      <c r="X46" s="7">
        <v>9945</v>
      </c>
      <c r="Y46" s="7">
        <v>9393</v>
      </c>
      <c r="Z46" s="7">
        <v>3413</v>
      </c>
      <c r="AA46" s="7">
        <v>926</v>
      </c>
      <c r="AB46" s="7">
        <v>7790</v>
      </c>
      <c r="AC46" s="7">
        <v>7715</v>
      </c>
      <c r="AD46" s="7">
        <v>4111</v>
      </c>
      <c r="AE46" s="7">
        <v>2530</v>
      </c>
      <c r="AF46" s="7">
        <v>3094</v>
      </c>
      <c r="AG46" s="7">
        <v>3032</v>
      </c>
      <c r="AH46" s="7">
        <v>9033</v>
      </c>
      <c r="AI46" s="7">
        <v>8804</v>
      </c>
      <c r="AJ46" s="7">
        <v>7566</v>
      </c>
      <c r="AK46" s="7">
        <v>6360</v>
      </c>
      <c r="AL46" s="7">
        <v>9664</v>
      </c>
      <c r="AM46" s="7">
        <v>6149</v>
      </c>
      <c r="AN46" s="7">
        <v>6538</v>
      </c>
      <c r="AO46" s="7">
        <v>7128</v>
      </c>
      <c r="AQ46" s="7"/>
      <c r="AR46" s="7"/>
    </row>
    <row r="47" spans="1:44" x14ac:dyDescent="0.25">
      <c r="A47" s="6" t="s">
        <v>81</v>
      </c>
      <c r="B47" s="6" t="s">
        <v>175</v>
      </c>
      <c r="C47" s="6" t="s">
        <v>80</v>
      </c>
      <c r="D47" s="6" t="s">
        <v>254</v>
      </c>
      <c r="E47" s="6" t="s">
        <v>36</v>
      </c>
      <c r="F47" s="7">
        <v>9047</v>
      </c>
      <c r="G47" s="7">
        <v>3060</v>
      </c>
      <c r="H47" s="7">
        <v>4730</v>
      </c>
      <c r="I47" s="7">
        <v>125</v>
      </c>
      <c r="J47" s="7">
        <v>9966</v>
      </c>
      <c r="K47" s="7">
        <v>9489</v>
      </c>
      <c r="L47" s="7">
        <v>5974</v>
      </c>
      <c r="M47" s="7">
        <v>7050</v>
      </c>
      <c r="N47" s="7">
        <v>1305</v>
      </c>
      <c r="O47" s="7">
        <v>9492</v>
      </c>
      <c r="P47" s="7">
        <v>8476</v>
      </c>
      <c r="Q47" s="7">
        <v>5207</v>
      </c>
      <c r="R47" s="7">
        <v>4178</v>
      </c>
      <c r="S47" s="7">
        <v>3628</v>
      </c>
      <c r="T47" s="7">
        <v>7365</v>
      </c>
      <c r="U47" s="7">
        <v>2436</v>
      </c>
      <c r="V47" s="7">
        <v>7286</v>
      </c>
      <c r="W47" s="7">
        <v>9757</v>
      </c>
      <c r="X47" s="7">
        <v>9158</v>
      </c>
      <c r="Y47" s="7">
        <v>2094</v>
      </c>
      <c r="Z47" s="7">
        <v>5535</v>
      </c>
      <c r="AA47" s="7">
        <v>3247</v>
      </c>
      <c r="AB47" s="7">
        <v>5187</v>
      </c>
      <c r="AC47" s="7">
        <v>5044</v>
      </c>
      <c r="AD47" s="7">
        <v>9760</v>
      </c>
      <c r="AE47" s="7">
        <v>276</v>
      </c>
      <c r="AF47" s="7">
        <v>6043</v>
      </c>
      <c r="AG47" s="7">
        <v>1355</v>
      </c>
      <c r="AH47" s="7">
        <v>7399</v>
      </c>
      <c r="AI47" s="7">
        <v>3417</v>
      </c>
      <c r="AJ47" s="7">
        <v>3778</v>
      </c>
      <c r="AK47" s="7">
        <v>1039</v>
      </c>
      <c r="AL47" s="7">
        <v>9315</v>
      </c>
      <c r="AM47" s="7">
        <v>1762</v>
      </c>
      <c r="AN47" s="7">
        <v>1542</v>
      </c>
      <c r="AO47" s="7">
        <v>2859</v>
      </c>
      <c r="AQ47" s="7"/>
      <c r="AR47" s="7"/>
    </row>
    <row r="48" spans="1:44" x14ac:dyDescent="0.25">
      <c r="A48" s="6" t="s">
        <v>81</v>
      </c>
      <c r="B48" s="6" t="s">
        <v>175</v>
      </c>
      <c r="C48" s="6" t="s">
        <v>25</v>
      </c>
      <c r="D48" s="6" t="s">
        <v>234</v>
      </c>
      <c r="E48" s="6" t="s">
        <v>26</v>
      </c>
      <c r="F48" s="7">
        <v>7226</v>
      </c>
      <c r="G48" s="7">
        <v>2893</v>
      </c>
      <c r="H48" s="7">
        <v>6269</v>
      </c>
      <c r="I48" s="7">
        <v>1521</v>
      </c>
      <c r="J48" s="7">
        <v>6348</v>
      </c>
      <c r="K48" s="7">
        <v>5145</v>
      </c>
      <c r="L48" s="7">
        <v>3009</v>
      </c>
      <c r="M48" s="7">
        <v>2953</v>
      </c>
      <c r="N48" s="7">
        <v>917</v>
      </c>
      <c r="O48" s="7">
        <v>252</v>
      </c>
      <c r="P48" s="7">
        <v>1368</v>
      </c>
      <c r="Q48" s="7">
        <v>1262</v>
      </c>
      <c r="R48" s="7">
        <v>287</v>
      </c>
      <c r="S48" s="7">
        <v>7499</v>
      </c>
      <c r="T48" s="7">
        <v>3326</v>
      </c>
      <c r="U48" s="7">
        <v>9551</v>
      </c>
      <c r="V48" s="7">
        <v>6860</v>
      </c>
      <c r="W48" s="7">
        <v>8575</v>
      </c>
      <c r="X48" s="7">
        <v>5753</v>
      </c>
      <c r="Y48" s="7">
        <v>6623</v>
      </c>
      <c r="Z48" s="7">
        <v>8219</v>
      </c>
      <c r="AA48" s="7">
        <v>3638</v>
      </c>
      <c r="AB48" s="7">
        <v>4136</v>
      </c>
      <c r="AC48" s="7">
        <v>5858</v>
      </c>
      <c r="AD48" s="7">
        <v>6996</v>
      </c>
      <c r="AE48" s="7">
        <v>845</v>
      </c>
      <c r="AF48" s="7">
        <v>5894</v>
      </c>
      <c r="AG48" s="7">
        <v>8315</v>
      </c>
      <c r="AH48" s="7">
        <v>9519</v>
      </c>
      <c r="AI48" s="7">
        <v>2997</v>
      </c>
      <c r="AJ48" s="7">
        <v>6653</v>
      </c>
      <c r="AK48" s="7">
        <v>7242</v>
      </c>
      <c r="AL48" s="7">
        <v>8600</v>
      </c>
      <c r="AM48" s="7">
        <v>510</v>
      </c>
      <c r="AN48" s="7">
        <v>1450</v>
      </c>
      <c r="AO48" s="7">
        <v>6777</v>
      </c>
      <c r="AQ48" s="7"/>
      <c r="AR48" s="7"/>
    </row>
    <row r="49" spans="1:44" x14ac:dyDescent="0.25">
      <c r="A49" s="6" t="s">
        <v>81</v>
      </c>
      <c r="B49" s="6" t="s">
        <v>175</v>
      </c>
      <c r="C49" s="6" t="s">
        <v>61</v>
      </c>
      <c r="D49" s="6" t="s">
        <v>243</v>
      </c>
      <c r="E49" s="6" t="s">
        <v>59</v>
      </c>
      <c r="F49" s="7">
        <v>6291</v>
      </c>
      <c r="G49" s="7">
        <v>3222</v>
      </c>
      <c r="H49" s="7">
        <v>6454</v>
      </c>
      <c r="I49" s="7">
        <v>9795</v>
      </c>
      <c r="J49" s="7">
        <v>229</v>
      </c>
      <c r="K49" s="7">
        <v>2126</v>
      </c>
      <c r="L49" s="7">
        <v>3318</v>
      </c>
      <c r="M49" s="7">
        <v>8744</v>
      </c>
      <c r="N49" s="7">
        <v>8171</v>
      </c>
      <c r="O49" s="7">
        <v>5839</v>
      </c>
      <c r="P49" s="7">
        <v>48</v>
      </c>
      <c r="Q49" s="7">
        <v>5398</v>
      </c>
      <c r="R49" s="7">
        <v>4489</v>
      </c>
      <c r="S49" s="7">
        <v>6755</v>
      </c>
      <c r="T49" s="7">
        <v>759</v>
      </c>
      <c r="U49" s="7">
        <v>5168</v>
      </c>
      <c r="V49" s="7">
        <v>4714</v>
      </c>
      <c r="W49" s="7">
        <v>466</v>
      </c>
      <c r="X49" s="7">
        <v>3179</v>
      </c>
      <c r="Y49" s="7">
        <v>909</v>
      </c>
      <c r="Z49" s="7">
        <v>4974</v>
      </c>
      <c r="AA49" s="7">
        <v>2611</v>
      </c>
      <c r="AB49" s="7">
        <v>855</v>
      </c>
      <c r="AC49" s="7">
        <v>6429</v>
      </c>
      <c r="AD49" s="7">
        <v>1620</v>
      </c>
      <c r="AE49" s="7">
        <v>8080</v>
      </c>
      <c r="AF49" s="7">
        <v>6890</v>
      </c>
      <c r="AG49" s="7">
        <v>147</v>
      </c>
      <c r="AH49" s="7">
        <v>1247</v>
      </c>
      <c r="AI49" s="7">
        <v>7864</v>
      </c>
      <c r="AJ49" s="7">
        <v>3295</v>
      </c>
      <c r="AK49" s="7">
        <v>2553</v>
      </c>
      <c r="AL49" s="7">
        <v>642</v>
      </c>
      <c r="AM49" s="7">
        <v>5861</v>
      </c>
      <c r="AN49" s="7">
        <v>2038</v>
      </c>
      <c r="AO49" s="7">
        <v>9359</v>
      </c>
      <c r="AQ49" s="7"/>
      <c r="AR49" s="7"/>
    </row>
    <row r="50" spans="1:44" x14ac:dyDescent="0.25">
      <c r="A50" s="6" t="s">
        <v>31</v>
      </c>
      <c r="B50" s="6" t="s">
        <v>176</v>
      </c>
      <c r="C50" s="6" t="s">
        <v>32</v>
      </c>
      <c r="D50" s="6" t="s">
        <v>256</v>
      </c>
      <c r="E50" s="6" t="s">
        <v>33</v>
      </c>
      <c r="F50" s="7">
        <v>4474</v>
      </c>
      <c r="G50" s="7">
        <v>5960</v>
      </c>
      <c r="H50" s="7">
        <v>1281</v>
      </c>
      <c r="I50" s="7">
        <v>9936</v>
      </c>
      <c r="J50" s="7">
        <v>1218</v>
      </c>
      <c r="K50" s="7">
        <v>418</v>
      </c>
      <c r="L50" s="7">
        <v>2360</v>
      </c>
      <c r="M50" s="7">
        <v>5648</v>
      </c>
      <c r="N50" s="7">
        <v>359</v>
      </c>
      <c r="O50" s="7">
        <v>6528</v>
      </c>
      <c r="P50" s="7">
        <v>5254</v>
      </c>
      <c r="Q50" s="7">
        <v>4857</v>
      </c>
      <c r="R50" s="7">
        <v>2623</v>
      </c>
      <c r="S50" s="7">
        <v>6368</v>
      </c>
      <c r="T50" s="7">
        <v>4555</v>
      </c>
      <c r="U50" s="7">
        <v>6794</v>
      </c>
      <c r="V50" s="7">
        <v>7129</v>
      </c>
      <c r="W50" s="7">
        <v>1337</v>
      </c>
      <c r="X50" s="7">
        <v>3227</v>
      </c>
      <c r="Y50" s="7">
        <v>1046</v>
      </c>
      <c r="Z50" s="7">
        <v>7089</v>
      </c>
      <c r="AA50" s="7">
        <v>9508</v>
      </c>
      <c r="AB50" s="7">
        <v>9112</v>
      </c>
      <c r="AC50" s="7">
        <v>2123</v>
      </c>
      <c r="AD50" s="7">
        <v>9089</v>
      </c>
      <c r="AE50" s="7">
        <v>901</v>
      </c>
      <c r="AF50" s="7">
        <v>9670</v>
      </c>
      <c r="AG50" s="7">
        <v>2740</v>
      </c>
      <c r="AH50" s="7">
        <v>7883</v>
      </c>
      <c r="AI50" s="7">
        <v>177</v>
      </c>
      <c r="AJ50" s="7">
        <v>3187</v>
      </c>
      <c r="AK50" s="7">
        <v>1728</v>
      </c>
      <c r="AL50" s="7">
        <v>7976</v>
      </c>
      <c r="AM50" s="7">
        <v>7405</v>
      </c>
      <c r="AN50" s="7">
        <v>3736</v>
      </c>
      <c r="AO50" s="7">
        <v>5624</v>
      </c>
      <c r="AQ50" s="7"/>
      <c r="AR50" s="7"/>
    </row>
    <row r="51" spans="1:44" x14ac:dyDescent="0.25">
      <c r="A51" s="6" t="s">
        <v>39</v>
      </c>
      <c r="B51" s="6" t="s">
        <v>177</v>
      </c>
      <c r="C51" s="6" t="s">
        <v>58</v>
      </c>
      <c r="D51" s="6" t="s">
        <v>229</v>
      </c>
      <c r="E51" s="6" t="s">
        <v>59</v>
      </c>
      <c r="F51" s="7">
        <v>8780</v>
      </c>
      <c r="G51" s="7">
        <v>2205</v>
      </c>
      <c r="H51" s="7">
        <v>7352</v>
      </c>
      <c r="I51" s="7">
        <v>6012</v>
      </c>
      <c r="J51" s="7">
        <v>7712</v>
      </c>
      <c r="K51" s="7">
        <v>6408</v>
      </c>
      <c r="L51" s="7">
        <v>5403</v>
      </c>
      <c r="M51" s="7">
        <v>4254</v>
      </c>
      <c r="N51" s="7">
        <v>9844</v>
      </c>
      <c r="O51" s="7">
        <v>5172</v>
      </c>
      <c r="P51" s="7">
        <v>5791</v>
      </c>
      <c r="Q51" s="7">
        <v>116</v>
      </c>
      <c r="R51" s="7">
        <v>1749</v>
      </c>
      <c r="S51" s="7">
        <v>9845</v>
      </c>
      <c r="T51" s="7">
        <v>7870</v>
      </c>
      <c r="U51" s="7">
        <v>8118</v>
      </c>
      <c r="V51" s="7">
        <v>4894</v>
      </c>
      <c r="W51" s="7">
        <v>8365</v>
      </c>
      <c r="X51" s="7">
        <v>9567</v>
      </c>
      <c r="Y51" s="7">
        <v>8570</v>
      </c>
      <c r="Z51" s="7">
        <v>712</v>
      </c>
      <c r="AA51" s="7">
        <v>2100</v>
      </c>
      <c r="AB51" s="7">
        <v>9570</v>
      </c>
      <c r="AC51" s="7">
        <v>6951</v>
      </c>
      <c r="AD51" s="7">
        <v>2878</v>
      </c>
      <c r="AE51" s="7">
        <v>2569</v>
      </c>
      <c r="AF51" s="7">
        <v>7664</v>
      </c>
      <c r="AG51" s="7">
        <v>5231</v>
      </c>
      <c r="AH51" s="7">
        <v>3941</v>
      </c>
      <c r="AI51" s="7">
        <v>7472</v>
      </c>
      <c r="AJ51" s="7">
        <v>7006</v>
      </c>
      <c r="AK51" s="7">
        <v>3319</v>
      </c>
      <c r="AL51" s="7">
        <v>918</v>
      </c>
      <c r="AM51" s="7">
        <v>9024</v>
      </c>
      <c r="AN51" s="7">
        <v>5333</v>
      </c>
      <c r="AO51" s="7">
        <v>9163</v>
      </c>
      <c r="AQ51" s="7"/>
      <c r="AR51" s="7"/>
    </row>
    <row r="52" spans="1:44" x14ac:dyDescent="0.25">
      <c r="A52" s="6" t="s">
        <v>39</v>
      </c>
      <c r="B52" s="6" t="s">
        <v>177</v>
      </c>
      <c r="C52" s="6" t="s">
        <v>64</v>
      </c>
      <c r="D52" s="6" t="s">
        <v>251</v>
      </c>
      <c r="E52" s="6" t="s">
        <v>46</v>
      </c>
      <c r="F52" s="7">
        <v>8573</v>
      </c>
      <c r="G52" s="7">
        <v>9617</v>
      </c>
      <c r="H52" s="7">
        <v>1416</v>
      </c>
      <c r="I52" s="7">
        <v>4603</v>
      </c>
      <c r="J52" s="7">
        <v>8580</v>
      </c>
      <c r="K52" s="7">
        <v>1054</v>
      </c>
      <c r="L52" s="7">
        <v>3370</v>
      </c>
      <c r="M52" s="7">
        <v>3536</v>
      </c>
      <c r="N52" s="7">
        <v>2924</v>
      </c>
      <c r="O52" s="7">
        <v>7451</v>
      </c>
      <c r="P52" s="7">
        <v>7954</v>
      </c>
      <c r="Q52" s="7">
        <v>8875</v>
      </c>
      <c r="R52" s="7">
        <v>1699</v>
      </c>
      <c r="S52" s="7">
        <v>6977</v>
      </c>
      <c r="T52" s="7">
        <v>3349</v>
      </c>
      <c r="U52" s="7">
        <v>761</v>
      </c>
      <c r="V52" s="7">
        <v>3013</v>
      </c>
      <c r="W52" s="7">
        <v>4518</v>
      </c>
      <c r="X52" s="7">
        <v>3049</v>
      </c>
      <c r="Y52" s="7">
        <v>9050</v>
      </c>
      <c r="Z52" s="7">
        <v>1165</v>
      </c>
      <c r="AA52" s="7">
        <v>8074</v>
      </c>
      <c r="AB52" s="7">
        <v>6229</v>
      </c>
      <c r="AC52" s="7">
        <v>7415</v>
      </c>
      <c r="AD52" s="7">
        <v>9134</v>
      </c>
      <c r="AE52" s="7">
        <v>5841</v>
      </c>
      <c r="AF52" s="7">
        <v>5073</v>
      </c>
      <c r="AG52" s="7">
        <v>567</v>
      </c>
      <c r="AH52" s="7">
        <v>8579</v>
      </c>
      <c r="AI52" s="7">
        <v>9505</v>
      </c>
      <c r="AJ52" s="7">
        <v>6363</v>
      </c>
      <c r="AK52" s="7">
        <v>3794</v>
      </c>
      <c r="AL52" s="7">
        <v>4929</v>
      </c>
      <c r="AM52" s="7">
        <v>9984</v>
      </c>
      <c r="AN52" s="7">
        <v>8255</v>
      </c>
      <c r="AO52" s="7">
        <v>1632</v>
      </c>
      <c r="AQ52" s="7"/>
      <c r="AR52" s="7"/>
    </row>
    <row r="53" spans="1:44" x14ac:dyDescent="0.25">
      <c r="A53" s="6" t="s">
        <v>39</v>
      </c>
      <c r="B53" s="6" t="s">
        <v>177</v>
      </c>
      <c r="C53" s="6" t="s">
        <v>40</v>
      </c>
      <c r="D53" s="6" t="s">
        <v>262</v>
      </c>
      <c r="E53" s="6" t="s">
        <v>26</v>
      </c>
      <c r="F53" s="7">
        <v>9144</v>
      </c>
      <c r="G53" s="7">
        <v>3350</v>
      </c>
      <c r="H53" s="7">
        <v>5088</v>
      </c>
      <c r="I53" s="7">
        <v>9880</v>
      </c>
      <c r="J53" s="7">
        <v>2942</v>
      </c>
      <c r="K53" s="7">
        <v>9351</v>
      </c>
      <c r="L53" s="7">
        <v>2421</v>
      </c>
      <c r="M53" s="7">
        <v>5912</v>
      </c>
      <c r="N53" s="7">
        <v>7119</v>
      </c>
      <c r="O53" s="7">
        <v>5560</v>
      </c>
      <c r="P53" s="7">
        <v>9986</v>
      </c>
      <c r="Q53" s="7">
        <v>1650</v>
      </c>
      <c r="R53" s="7">
        <v>690</v>
      </c>
      <c r="S53" s="7">
        <v>8506</v>
      </c>
      <c r="T53" s="7">
        <v>8787</v>
      </c>
      <c r="U53" s="7">
        <v>7253</v>
      </c>
      <c r="V53" s="7">
        <v>1509</v>
      </c>
      <c r="W53" s="7">
        <v>2653</v>
      </c>
      <c r="X53" s="7">
        <v>6461</v>
      </c>
      <c r="Y53" s="7">
        <v>5530</v>
      </c>
      <c r="Z53" s="7">
        <v>9646</v>
      </c>
      <c r="AA53" s="7">
        <v>3612</v>
      </c>
      <c r="AB53" s="7">
        <v>891</v>
      </c>
      <c r="AC53" s="7">
        <v>60</v>
      </c>
      <c r="AD53" s="7">
        <v>2147</v>
      </c>
      <c r="AE53" s="7">
        <v>7700</v>
      </c>
      <c r="AF53" s="7">
        <v>4564</v>
      </c>
      <c r="AG53" s="7">
        <v>9311</v>
      </c>
      <c r="AH53" s="7">
        <v>8848</v>
      </c>
      <c r="AI53" s="7">
        <v>5371</v>
      </c>
      <c r="AJ53" s="7">
        <v>97</v>
      </c>
      <c r="AK53" s="7">
        <v>3977</v>
      </c>
      <c r="AL53" s="7">
        <v>7074</v>
      </c>
      <c r="AM53" s="7">
        <v>8524</v>
      </c>
      <c r="AN53" s="7">
        <v>5586</v>
      </c>
      <c r="AO53" s="7">
        <v>3660</v>
      </c>
      <c r="AQ53" s="7"/>
      <c r="AR53" s="7"/>
    </row>
    <row r="54" spans="1:44" x14ac:dyDescent="0.25">
      <c r="A54" s="6" t="s">
        <v>39</v>
      </c>
      <c r="B54" s="6" t="s">
        <v>177</v>
      </c>
      <c r="C54" s="6" t="s">
        <v>42</v>
      </c>
      <c r="D54" s="6" t="s">
        <v>263</v>
      </c>
      <c r="E54" s="6" t="s">
        <v>43</v>
      </c>
      <c r="F54" s="7">
        <v>6841</v>
      </c>
      <c r="G54" s="7">
        <v>688</v>
      </c>
      <c r="H54" s="7">
        <v>680</v>
      </c>
      <c r="I54" s="7">
        <v>7340</v>
      </c>
      <c r="J54" s="7">
        <v>7727</v>
      </c>
      <c r="K54" s="7">
        <v>7316</v>
      </c>
      <c r="L54" s="7">
        <v>7735</v>
      </c>
      <c r="M54" s="7">
        <v>7219</v>
      </c>
      <c r="N54" s="7">
        <v>7624</v>
      </c>
      <c r="O54" s="7">
        <v>2308</v>
      </c>
      <c r="P54" s="7">
        <v>2960</v>
      </c>
      <c r="Q54" s="7">
        <v>1081</v>
      </c>
      <c r="R54" s="7">
        <v>5034</v>
      </c>
      <c r="S54" s="7">
        <v>5298</v>
      </c>
      <c r="T54" s="7">
        <v>8502</v>
      </c>
      <c r="U54" s="7">
        <v>4055</v>
      </c>
      <c r="V54" s="7">
        <v>4149</v>
      </c>
      <c r="W54" s="7">
        <v>4455</v>
      </c>
      <c r="X54" s="7">
        <v>9655</v>
      </c>
      <c r="Y54" s="7">
        <v>3727</v>
      </c>
      <c r="Z54" s="7">
        <v>6719</v>
      </c>
      <c r="AA54" s="7">
        <v>4628</v>
      </c>
      <c r="AB54" s="7">
        <v>8195</v>
      </c>
      <c r="AC54" s="7">
        <v>5768</v>
      </c>
      <c r="AD54" s="7">
        <v>9665</v>
      </c>
      <c r="AE54" s="7">
        <v>1914</v>
      </c>
      <c r="AF54" s="7">
        <v>8224</v>
      </c>
      <c r="AG54" s="7">
        <v>4888</v>
      </c>
      <c r="AH54" s="7">
        <v>1475</v>
      </c>
      <c r="AI54" s="7">
        <v>9321</v>
      </c>
      <c r="AJ54" s="7">
        <v>6739</v>
      </c>
      <c r="AK54" s="7">
        <v>3071</v>
      </c>
      <c r="AL54" s="7">
        <v>4965</v>
      </c>
      <c r="AM54" s="7">
        <v>2172</v>
      </c>
      <c r="AN54" s="7">
        <v>5735</v>
      </c>
      <c r="AO54" s="7">
        <v>4212</v>
      </c>
      <c r="AQ54" s="7"/>
      <c r="AR54" s="7"/>
    </row>
    <row r="55" spans="1:44" x14ac:dyDescent="0.25">
      <c r="A55" s="6" t="s">
        <v>39</v>
      </c>
      <c r="B55" s="6" t="s">
        <v>177</v>
      </c>
      <c r="C55" s="6" t="s">
        <v>40</v>
      </c>
      <c r="D55" s="6" t="s">
        <v>262</v>
      </c>
      <c r="E55" s="6" t="s">
        <v>26</v>
      </c>
      <c r="F55" s="7">
        <v>665</v>
      </c>
      <c r="G55" s="7">
        <v>5961</v>
      </c>
      <c r="H55" s="7">
        <v>3894</v>
      </c>
      <c r="I55" s="7">
        <v>6117</v>
      </c>
      <c r="J55" s="7">
        <v>8688</v>
      </c>
      <c r="K55" s="7">
        <v>7568</v>
      </c>
      <c r="L55" s="7">
        <v>5622</v>
      </c>
      <c r="M55" s="7">
        <v>6308</v>
      </c>
      <c r="N55" s="7">
        <v>6764</v>
      </c>
      <c r="O55" s="7">
        <v>8536</v>
      </c>
      <c r="P55" s="7">
        <v>7464</v>
      </c>
      <c r="Q55" s="7">
        <v>2073</v>
      </c>
      <c r="R55" s="7">
        <v>7084</v>
      </c>
      <c r="S55" s="7">
        <v>4532</v>
      </c>
      <c r="T55" s="7">
        <v>9686</v>
      </c>
      <c r="U55" s="7">
        <v>5403</v>
      </c>
      <c r="V55" s="7">
        <v>210</v>
      </c>
      <c r="W55" s="7">
        <v>6464</v>
      </c>
      <c r="X55" s="7">
        <v>8038</v>
      </c>
      <c r="Y55" s="7">
        <v>1483</v>
      </c>
      <c r="Z55" s="7">
        <v>2566</v>
      </c>
      <c r="AA55" s="7">
        <v>6299</v>
      </c>
      <c r="AB55" s="7">
        <v>606</v>
      </c>
      <c r="AC55" s="7">
        <v>7080</v>
      </c>
      <c r="AD55" s="7">
        <v>2195</v>
      </c>
      <c r="AE55" s="7">
        <v>953</v>
      </c>
      <c r="AF55" s="7">
        <v>8482</v>
      </c>
      <c r="AG55" s="7">
        <v>6596</v>
      </c>
      <c r="AH55" s="7">
        <v>1379</v>
      </c>
      <c r="AI55" s="7">
        <v>6105</v>
      </c>
      <c r="AJ55" s="7">
        <v>3556</v>
      </c>
      <c r="AK55" s="7">
        <v>9288</v>
      </c>
      <c r="AL55" s="7">
        <v>8109</v>
      </c>
      <c r="AM55" s="7">
        <v>6056</v>
      </c>
      <c r="AN55" s="7">
        <v>1056</v>
      </c>
      <c r="AO55" s="7">
        <v>7795</v>
      </c>
      <c r="AQ55" s="7"/>
      <c r="AR55" s="7"/>
    </row>
    <row r="56" spans="1:44" x14ac:dyDescent="0.25">
      <c r="A56" s="6" t="s">
        <v>39</v>
      </c>
      <c r="B56" s="6" t="s">
        <v>177</v>
      </c>
      <c r="C56" s="6" t="s">
        <v>102</v>
      </c>
      <c r="D56" s="6" t="s">
        <v>233</v>
      </c>
      <c r="E56" s="6" t="s">
        <v>75</v>
      </c>
      <c r="F56" s="7">
        <v>7492</v>
      </c>
      <c r="G56" s="7">
        <v>3602</v>
      </c>
      <c r="H56" s="7">
        <v>6959</v>
      </c>
      <c r="I56" s="7">
        <v>4403</v>
      </c>
      <c r="J56" s="7">
        <v>8516</v>
      </c>
      <c r="K56" s="7">
        <v>1416</v>
      </c>
      <c r="L56" s="7">
        <v>2033</v>
      </c>
      <c r="M56" s="7">
        <v>2310</v>
      </c>
      <c r="N56" s="7">
        <v>381</v>
      </c>
      <c r="O56" s="7">
        <v>9456</v>
      </c>
      <c r="P56" s="7">
        <v>8669</v>
      </c>
      <c r="Q56" s="7">
        <v>8436</v>
      </c>
      <c r="R56" s="7">
        <v>2847</v>
      </c>
      <c r="S56" s="7">
        <v>1201</v>
      </c>
      <c r="T56" s="7">
        <v>5145</v>
      </c>
      <c r="U56" s="7">
        <v>7408</v>
      </c>
      <c r="V56" s="7">
        <v>9917</v>
      </c>
      <c r="W56" s="7">
        <v>9171</v>
      </c>
      <c r="X56" s="7">
        <v>4727</v>
      </c>
      <c r="Y56" s="7">
        <v>4006</v>
      </c>
      <c r="Z56" s="7">
        <v>5447</v>
      </c>
      <c r="AA56" s="7">
        <v>2957</v>
      </c>
      <c r="AB56" s="7">
        <v>7299</v>
      </c>
      <c r="AC56" s="7">
        <v>7332</v>
      </c>
      <c r="AD56" s="7">
        <v>1095</v>
      </c>
      <c r="AE56" s="7">
        <v>6001</v>
      </c>
      <c r="AF56" s="7">
        <v>2168</v>
      </c>
      <c r="AG56" s="7">
        <v>8660</v>
      </c>
      <c r="AH56" s="7">
        <v>131</v>
      </c>
      <c r="AI56" s="7">
        <v>2551</v>
      </c>
      <c r="AJ56" s="7">
        <v>7719</v>
      </c>
      <c r="AK56" s="7">
        <v>1881</v>
      </c>
      <c r="AL56" s="7">
        <v>280</v>
      </c>
      <c r="AM56" s="7">
        <v>9769</v>
      </c>
      <c r="AN56" s="7">
        <v>3206</v>
      </c>
      <c r="AO56" s="7">
        <v>292</v>
      </c>
      <c r="AQ56" s="7"/>
      <c r="AR56" s="7"/>
    </row>
    <row r="57" spans="1:44" x14ac:dyDescent="0.25">
      <c r="A57" s="6" t="s">
        <v>39</v>
      </c>
      <c r="B57" s="6" t="s">
        <v>177</v>
      </c>
      <c r="C57" s="6" t="s">
        <v>28</v>
      </c>
      <c r="D57" s="6" t="s">
        <v>264</v>
      </c>
      <c r="E57" s="6" t="s">
        <v>29</v>
      </c>
      <c r="F57" s="7">
        <v>76</v>
      </c>
      <c r="G57" s="7">
        <v>6404</v>
      </c>
      <c r="H57" s="7">
        <v>1524</v>
      </c>
      <c r="I57" s="7">
        <v>1637</v>
      </c>
      <c r="J57" s="7">
        <v>3256</v>
      </c>
      <c r="K57" s="7">
        <v>3522</v>
      </c>
      <c r="L57" s="7">
        <v>862</v>
      </c>
      <c r="M57" s="7">
        <v>7162</v>
      </c>
      <c r="N57" s="7">
        <v>2708</v>
      </c>
      <c r="O57" s="7">
        <v>8953</v>
      </c>
      <c r="P57" s="7">
        <v>6791</v>
      </c>
      <c r="Q57" s="7">
        <v>807</v>
      </c>
      <c r="R57" s="7">
        <v>8855</v>
      </c>
      <c r="S57" s="7">
        <v>6635</v>
      </c>
      <c r="T57" s="7">
        <v>148</v>
      </c>
      <c r="U57" s="7">
        <v>9566</v>
      </c>
      <c r="V57" s="7">
        <v>9898</v>
      </c>
      <c r="W57" s="7">
        <v>7735</v>
      </c>
      <c r="X57" s="7">
        <v>8958</v>
      </c>
      <c r="Y57" s="7">
        <v>773</v>
      </c>
      <c r="Z57" s="7">
        <v>396</v>
      </c>
      <c r="AA57" s="7">
        <v>5370</v>
      </c>
      <c r="AB57" s="7">
        <v>109</v>
      </c>
      <c r="AC57" s="7">
        <v>5718</v>
      </c>
      <c r="AD57" s="7">
        <v>4063</v>
      </c>
      <c r="AE57" s="7">
        <v>1901</v>
      </c>
      <c r="AF57" s="7">
        <v>3649</v>
      </c>
      <c r="AG57" s="7">
        <v>9532</v>
      </c>
      <c r="AH57" s="7">
        <v>8350</v>
      </c>
      <c r="AI57" s="7">
        <v>9996</v>
      </c>
      <c r="AJ57" s="7">
        <v>999</v>
      </c>
      <c r="AK57" s="7">
        <v>8471</v>
      </c>
      <c r="AL57" s="7">
        <v>2254</v>
      </c>
      <c r="AM57" s="7">
        <v>7691</v>
      </c>
      <c r="AN57" s="7">
        <v>6500</v>
      </c>
      <c r="AO57" s="7">
        <v>2667</v>
      </c>
      <c r="AQ57" s="7"/>
      <c r="AR57" s="7"/>
    </row>
    <row r="58" spans="1:44" x14ac:dyDescent="0.25">
      <c r="A58" s="6" t="s">
        <v>39</v>
      </c>
      <c r="B58" s="6" t="s">
        <v>177</v>
      </c>
      <c r="C58" s="6" t="s">
        <v>82</v>
      </c>
      <c r="D58" s="6" t="s">
        <v>261</v>
      </c>
      <c r="E58" s="6" t="s">
        <v>36</v>
      </c>
      <c r="F58" s="7">
        <v>9486</v>
      </c>
      <c r="G58" s="7">
        <v>2251</v>
      </c>
      <c r="H58" s="7">
        <v>7464</v>
      </c>
      <c r="I58" s="7">
        <v>5023</v>
      </c>
      <c r="J58" s="7">
        <v>9633</v>
      </c>
      <c r="K58" s="7">
        <v>3948</v>
      </c>
      <c r="L58" s="7">
        <v>4364</v>
      </c>
      <c r="M58" s="7">
        <v>1056</v>
      </c>
      <c r="N58" s="7">
        <v>2927</v>
      </c>
      <c r="O58" s="7">
        <v>4705</v>
      </c>
      <c r="P58" s="7">
        <v>8138</v>
      </c>
      <c r="Q58" s="7">
        <v>955</v>
      </c>
      <c r="R58" s="7">
        <v>5978</v>
      </c>
      <c r="S58" s="7">
        <v>7052</v>
      </c>
      <c r="T58" s="7">
        <v>4513</v>
      </c>
      <c r="U58" s="7">
        <v>4372</v>
      </c>
      <c r="V58" s="7">
        <v>5364</v>
      </c>
      <c r="W58" s="7">
        <v>7025</v>
      </c>
      <c r="X58" s="7">
        <v>7380</v>
      </c>
      <c r="Y58" s="7">
        <v>1407</v>
      </c>
      <c r="Z58" s="7">
        <v>5892</v>
      </c>
      <c r="AA58" s="7">
        <v>8457</v>
      </c>
      <c r="AB58" s="7">
        <v>8061</v>
      </c>
      <c r="AC58" s="7">
        <v>4251</v>
      </c>
      <c r="AD58" s="7">
        <v>1784</v>
      </c>
      <c r="AE58" s="7">
        <v>1219</v>
      </c>
      <c r="AF58" s="7">
        <v>1685</v>
      </c>
      <c r="AG58" s="7">
        <v>6255</v>
      </c>
      <c r="AH58" s="7">
        <v>1284</v>
      </c>
      <c r="AI58" s="7">
        <v>1530</v>
      </c>
      <c r="AJ58" s="7">
        <v>2013</v>
      </c>
      <c r="AK58" s="7">
        <v>9479</v>
      </c>
      <c r="AL58" s="7">
        <v>647</v>
      </c>
      <c r="AM58" s="7">
        <v>6814</v>
      </c>
      <c r="AN58" s="7">
        <v>7091</v>
      </c>
      <c r="AO58" s="7">
        <v>813</v>
      </c>
      <c r="AQ58" s="7"/>
      <c r="AR58" s="7"/>
    </row>
    <row r="59" spans="1:44" x14ac:dyDescent="0.25">
      <c r="A59" s="6" t="s">
        <v>144</v>
      </c>
      <c r="B59" s="6" t="s">
        <v>178</v>
      </c>
      <c r="C59" s="6" t="s">
        <v>97</v>
      </c>
      <c r="D59" s="6" t="s">
        <v>244</v>
      </c>
      <c r="E59" s="6" t="s">
        <v>70</v>
      </c>
      <c r="F59" s="7">
        <v>4332</v>
      </c>
      <c r="G59" s="7">
        <v>4390</v>
      </c>
      <c r="H59" s="7">
        <v>2854</v>
      </c>
      <c r="I59" s="7">
        <v>9277</v>
      </c>
      <c r="J59" s="7">
        <v>9106</v>
      </c>
      <c r="K59" s="7">
        <v>7636</v>
      </c>
      <c r="L59" s="7">
        <v>9325</v>
      </c>
      <c r="M59" s="7">
        <v>4152</v>
      </c>
      <c r="N59" s="7">
        <v>2217</v>
      </c>
      <c r="O59" s="7">
        <v>7024</v>
      </c>
      <c r="P59" s="7">
        <v>2469</v>
      </c>
      <c r="Q59" s="7">
        <v>9211</v>
      </c>
      <c r="R59" s="7">
        <v>1637</v>
      </c>
      <c r="S59" s="7">
        <v>6580</v>
      </c>
      <c r="T59" s="7">
        <v>8042</v>
      </c>
      <c r="U59" s="7">
        <v>50</v>
      </c>
      <c r="V59" s="7">
        <v>6967</v>
      </c>
      <c r="W59" s="7">
        <v>3779</v>
      </c>
      <c r="X59" s="7">
        <v>9308</v>
      </c>
      <c r="Y59" s="7">
        <v>8059</v>
      </c>
      <c r="Z59" s="7">
        <v>3242</v>
      </c>
      <c r="AA59" s="7">
        <v>9274</v>
      </c>
      <c r="AB59" s="7">
        <v>5729</v>
      </c>
      <c r="AC59" s="7">
        <v>4426</v>
      </c>
      <c r="AD59" s="7">
        <v>4585</v>
      </c>
      <c r="AE59" s="7">
        <v>9464</v>
      </c>
      <c r="AF59" s="7">
        <v>8879</v>
      </c>
      <c r="AG59" s="7">
        <v>595</v>
      </c>
      <c r="AH59" s="7">
        <v>6341</v>
      </c>
      <c r="AI59" s="7">
        <v>8189</v>
      </c>
      <c r="AJ59" s="7">
        <v>7212</v>
      </c>
      <c r="AK59" s="7">
        <v>7823</v>
      </c>
      <c r="AL59" s="7">
        <v>207</v>
      </c>
      <c r="AM59" s="7">
        <v>8699</v>
      </c>
      <c r="AN59" s="7">
        <v>778</v>
      </c>
      <c r="AO59" s="7">
        <v>6753</v>
      </c>
      <c r="AQ59" s="7"/>
      <c r="AR59" s="7"/>
    </row>
    <row r="60" spans="1:44" x14ac:dyDescent="0.25">
      <c r="A60" s="6" t="s">
        <v>144</v>
      </c>
      <c r="B60" s="6" t="s">
        <v>178</v>
      </c>
      <c r="C60" s="6" t="s">
        <v>104</v>
      </c>
      <c r="D60" s="6" t="s">
        <v>237</v>
      </c>
      <c r="E60" s="6" t="s">
        <v>75</v>
      </c>
      <c r="F60" s="7">
        <v>7503</v>
      </c>
      <c r="G60" s="7">
        <v>3000</v>
      </c>
      <c r="H60" s="7">
        <v>7677</v>
      </c>
      <c r="I60" s="7">
        <v>7072</v>
      </c>
      <c r="J60" s="7">
        <v>2895</v>
      </c>
      <c r="K60" s="7">
        <v>1801</v>
      </c>
      <c r="L60" s="7">
        <v>9150</v>
      </c>
      <c r="M60" s="7">
        <v>2074</v>
      </c>
      <c r="N60" s="7">
        <v>4806</v>
      </c>
      <c r="O60" s="7">
        <v>802</v>
      </c>
      <c r="P60" s="7">
        <v>3029</v>
      </c>
      <c r="Q60" s="7">
        <v>1142</v>
      </c>
      <c r="R60" s="7">
        <v>6070</v>
      </c>
      <c r="S60" s="7">
        <v>1822</v>
      </c>
      <c r="T60" s="7">
        <v>8369</v>
      </c>
      <c r="U60" s="7">
        <v>510</v>
      </c>
      <c r="V60" s="7">
        <v>8580</v>
      </c>
      <c r="W60" s="7">
        <v>1046</v>
      </c>
      <c r="X60" s="7">
        <v>1712</v>
      </c>
      <c r="Y60" s="7">
        <v>7359</v>
      </c>
      <c r="Z60" s="7">
        <v>8646</v>
      </c>
      <c r="AA60" s="7">
        <v>5429</v>
      </c>
      <c r="AB60" s="7">
        <v>9751</v>
      </c>
      <c r="AC60" s="7">
        <v>6956</v>
      </c>
      <c r="AD60" s="7">
        <v>2695</v>
      </c>
      <c r="AE60" s="7">
        <v>5836</v>
      </c>
      <c r="AF60" s="7">
        <v>8952</v>
      </c>
      <c r="AG60" s="7">
        <v>1424</v>
      </c>
      <c r="AH60" s="7">
        <v>8345</v>
      </c>
      <c r="AI60" s="7">
        <v>2754</v>
      </c>
      <c r="AJ60" s="7">
        <v>764</v>
      </c>
      <c r="AK60" s="7">
        <v>4756</v>
      </c>
      <c r="AL60" s="7">
        <v>7030</v>
      </c>
      <c r="AM60" s="7">
        <v>4527</v>
      </c>
      <c r="AN60" s="7">
        <v>462</v>
      </c>
      <c r="AO60" s="7">
        <v>7002</v>
      </c>
      <c r="AQ60" s="7"/>
      <c r="AR60" s="7"/>
    </row>
    <row r="61" spans="1:44" x14ac:dyDescent="0.25">
      <c r="A61" s="6" t="s">
        <v>146</v>
      </c>
      <c r="B61" s="6" t="s">
        <v>179</v>
      </c>
      <c r="C61" s="6" t="s">
        <v>28</v>
      </c>
      <c r="D61" s="6" t="s">
        <v>264</v>
      </c>
      <c r="E61" s="6" t="s">
        <v>29</v>
      </c>
      <c r="F61" s="7">
        <v>9917</v>
      </c>
      <c r="G61" s="7">
        <v>4361</v>
      </c>
      <c r="H61" s="7">
        <v>5532</v>
      </c>
      <c r="I61" s="7">
        <v>1569</v>
      </c>
      <c r="J61" s="7">
        <v>9841</v>
      </c>
      <c r="K61" s="7">
        <v>4644</v>
      </c>
      <c r="L61" s="7">
        <v>9092</v>
      </c>
      <c r="M61" s="7">
        <v>2459</v>
      </c>
      <c r="N61" s="7">
        <v>2855</v>
      </c>
      <c r="O61" s="7">
        <v>5220</v>
      </c>
      <c r="P61" s="7">
        <v>8203</v>
      </c>
      <c r="Q61" s="7">
        <v>3585</v>
      </c>
      <c r="R61" s="7">
        <v>9675</v>
      </c>
      <c r="S61" s="7">
        <v>272</v>
      </c>
      <c r="T61" s="7">
        <v>9191</v>
      </c>
      <c r="U61" s="7">
        <v>7297</v>
      </c>
      <c r="V61" s="7">
        <v>4628</v>
      </c>
      <c r="W61" s="7">
        <v>1695</v>
      </c>
      <c r="X61" s="7">
        <v>2727</v>
      </c>
      <c r="Y61" s="7">
        <v>2645</v>
      </c>
      <c r="Z61" s="7">
        <v>842</v>
      </c>
      <c r="AA61" s="7">
        <v>4317</v>
      </c>
      <c r="AB61" s="7">
        <v>798</v>
      </c>
      <c r="AC61" s="7">
        <v>8560</v>
      </c>
      <c r="AD61" s="7">
        <v>501</v>
      </c>
      <c r="AE61" s="7">
        <v>3057</v>
      </c>
      <c r="AF61" s="7">
        <v>108</v>
      </c>
      <c r="AG61" s="7">
        <v>8233</v>
      </c>
      <c r="AH61" s="7">
        <v>7311</v>
      </c>
      <c r="AI61" s="7">
        <v>9859</v>
      </c>
      <c r="AJ61" s="7">
        <v>1338</v>
      </c>
      <c r="AK61" s="7">
        <v>7155</v>
      </c>
      <c r="AL61" s="7">
        <v>4432</v>
      </c>
      <c r="AM61" s="7">
        <v>3584</v>
      </c>
      <c r="AN61" s="7">
        <v>8338</v>
      </c>
      <c r="AO61" s="7">
        <v>7181</v>
      </c>
      <c r="AQ61" s="7"/>
      <c r="AR61" s="7"/>
    </row>
    <row r="62" spans="1:44" x14ac:dyDescent="0.25">
      <c r="A62" s="6" t="s">
        <v>146</v>
      </c>
      <c r="B62" s="6" t="s">
        <v>179</v>
      </c>
      <c r="C62" s="6" t="s">
        <v>93</v>
      </c>
      <c r="D62" s="6" t="s">
        <v>238</v>
      </c>
      <c r="E62" s="6" t="s">
        <v>70</v>
      </c>
      <c r="F62" s="7">
        <v>6481</v>
      </c>
      <c r="G62" s="7">
        <v>77</v>
      </c>
      <c r="H62" s="7">
        <v>6743</v>
      </c>
      <c r="I62" s="7">
        <v>7384</v>
      </c>
      <c r="J62" s="7">
        <v>5839</v>
      </c>
      <c r="K62" s="7">
        <v>2813</v>
      </c>
      <c r="L62" s="7">
        <v>2175</v>
      </c>
      <c r="M62" s="7">
        <v>7583</v>
      </c>
      <c r="N62" s="7">
        <v>1875</v>
      </c>
      <c r="O62" s="7">
        <v>1293</v>
      </c>
      <c r="P62" s="7">
        <v>8974</v>
      </c>
      <c r="Q62" s="7">
        <v>8567</v>
      </c>
      <c r="R62" s="7">
        <v>7938</v>
      </c>
      <c r="S62" s="7">
        <v>3102</v>
      </c>
      <c r="T62" s="7">
        <v>3642</v>
      </c>
      <c r="U62" s="7">
        <v>9413</v>
      </c>
      <c r="V62" s="7">
        <v>984</v>
      </c>
      <c r="W62" s="7">
        <v>2644</v>
      </c>
      <c r="X62" s="7">
        <v>3141</v>
      </c>
      <c r="Y62" s="7">
        <v>9117</v>
      </c>
      <c r="Z62" s="7">
        <v>4898</v>
      </c>
      <c r="AA62" s="7">
        <v>8419</v>
      </c>
      <c r="AB62" s="7">
        <v>7982</v>
      </c>
      <c r="AC62" s="7">
        <v>6808</v>
      </c>
      <c r="AD62" s="7">
        <v>9959</v>
      </c>
      <c r="AE62" s="7">
        <v>939</v>
      </c>
      <c r="AF62" s="7">
        <v>4125</v>
      </c>
      <c r="AG62" s="7">
        <v>202</v>
      </c>
      <c r="AH62" s="7">
        <v>1371</v>
      </c>
      <c r="AI62" s="7">
        <v>9921</v>
      </c>
      <c r="AJ62" s="7">
        <v>834</v>
      </c>
      <c r="AK62" s="7">
        <v>5022</v>
      </c>
      <c r="AL62" s="7">
        <v>5253</v>
      </c>
      <c r="AM62" s="7">
        <v>6522</v>
      </c>
      <c r="AN62" s="7">
        <v>1439</v>
      </c>
      <c r="AO62" s="7">
        <v>6771</v>
      </c>
      <c r="AQ62" s="7"/>
      <c r="AR62" s="7"/>
    </row>
    <row r="63" spans="1:44" x14ac:dyDescent="0.25">
      <c r="A63" s="6" t="s">
        <v>101</v>
      </c>
      <c r="B63" s="6" t="s">
        <v>180</v>
      </c>
      <c r="C63" s="6" t="s">
        <v>114</v>
      </c>
      <c r="D63" s="6" t="s">
        <v>265</v>
      </c>
      <c r="E63" s="6" t="s">
        <v>46</v>
      </c>
      <c r="F63" s="7">
        <v>1622</v>
      </c>
      <c r="G63" s="7">
        <v>2988</v>
      </c>
      <c r="H63" s="7">
        <v>6034</v>
      </c>
      <c r="I63" s="7">
        <v>8123</v>
      </c>
      <c r="J63" s="7">
        <v>3305</v>
      </c>
      <c r="K63" s="7">
        <v>3111</v>
      </c>
      <c r="L63" s="7">
        <v>5237</v>
      </c>
      <c r="M63" s="7">
        <v>4361</v>
      </c>
      <c r="N63" s="7">
        <v>8293</v>
      </c>
      <c r="O63" s="7">
        <v>5645</v>
      </c>
      <c r="P63" s="7">
        <v>9087</v>
      </c>
      <c r="Q63" s="7">
        <v>5816</v>
      </c>
      <c r="R63" s="7">
        <v>981</v>
      </c>
      <c r="S63" s="7">
        <v>9944</v>
      </c>
      <c r="T63" s="7">
        <v>5622</v>
      </c>
      <c r="U63" s="7">
        <v>5587</v>
      </c>
      <c r="V63" s="7">
        <v>543</v>
      </c>
      <c r="W63" s="7">
        <v>3309</v>
      </c>
      <c r="X63" s="7">
        <v>1648</v>
      </c>
      <c r="Y63" s="7">
        <v>4830</v>
      </c>
      <c r="Z63" s="7">
        <v>705</v>
      </c>
      <c r="AA63" s="7">
        <v>6811</v>
      </c>
      <c r="AB63" s="7">
        <v>3754</v>
      </c>
      <c r="AC63" s="7">
        <v>4655</v>
      </c>
      <c r="AD63" s="7">
        <v>2903</v>
      </c>
      <c r="AE63" s="7">
        <v>4514</v>
      </c>
      <c r="AF63" s="7">
        <v>3427</v>
      </c>
      <c r="AG63" s="7">
        <v>9691</v>
      </c>
      <c r="AH63" s="7">
        <v>4795</v>
      </c>
      <c r="AI63" s="7">
        <v>7471</v>
      </c>
      <c r="AJ63" s="7">
        <v>7246</v>
      </c>
      <c r="AK63" s="7">
        <v>9631</v>
      </c>
      <c r="AL63" s="7">
        <v>5612</v>
      </c>
      <c r="AM63" s="7">
        <v>7693</v>
      </c>
      <c r="AN63" s="7">
        <v>9755</v>
      </c>
      <c r="AO63" s="7">
        <v>5160</v>
      </c>
      <c r="AQ63" s="7"/>
      <c r="AR63" s="7"/>
    </row>
    <row r="64" spans="1:44" x14ac:dyDescent="0.25">
      <c r="A64" s="6" t="s">
        <v>101</v>
      </c>
      <c r="B64" s="6" t="s">
        <v>180</v>
      </c>
      <c r="C64" s="6" t="s">
        <v>86</v>
      </c>
      <c r="D64" s="6" t="s">
        <v>246</v>
      </c>
      <c r="E64" s="6" t="s">
        <v>29</v>
      </c>
      <c r="F64" s="7">
        <v>4028</v>
      </c>
      <c r="G64" s="7">
        <v>6359</v>
      </c>
      <c r="H64" s="7">
        <v>85</v>
      </c>
      <c r="I64" s="7">
        <v>1970</v>
      </c>
      <c r="J64" s="7">
        <v>5596</v>
      </c>
      <c r="K64" s="7">
        <v>3429</v>
      </c>
      <c r="L64" s="7">
        <v>1409</v>
      </c>
      <c r="M64" s="7">
        <v>7606</v>
      </c>
      <c r="N64" s="7">
        <v>6503</v>
      </c>
      <c r="O64" s="7">
        <v>7074</v>
      </c>
      <c r="P64" s="7">
        <v>5160</v>
      </c>
      <c r="Q64" s="7">
        <v>3343</v>
      </c>
      <c r="R64" s="7">
        <v>6576</v>
      </c>
      <c r="S64" s="7">
        <v>8023</v>
      </c>
      <c r="T64" s="7">
        <v>3600</v>
      </c>
      <c r="U64" s="7">
        <v>9974</v>
      </c>
      <c r="V64" s="7">
        <v>8019</v>
      </c>
      <c r="W64" s="7">
        <v>5113</v>
      </c>
      <c r="X64" s="7">
        <v>8951</v>
      </c>
      <c r="Y64" s="7">
        <v>7821</v>
      </c>
      <c r="Z64" s="7">
        <v>2826</v>
      </c>
      <c r="AA64" s="7">
        <v>197</v>
      </c>
      <c r="AB64" s="7">
        <v>494</v>
      </c>
      <c r="AC64" s="7">
        <v>740</v>
      </c>
      <c r="AD64" s="7">
        <v>2365</v>
      </c>
      <c r="AE64" s="7">
        <v>919</v>
      </c>
      <c r="AF64" s="7">
        <v>9516</v>
      </c>
      <c r="AG64" s="7">
        <v>4592</v>
      </c>
      <c r="AH64" s="7">
        <v>5193</v>
      </c>
      <c r="AI64" s="7">
        <v>4516</v>
      </c>
      <c r="AJ64" s="7">
        <v>9984</v>
      </c>
      <c r="AK64" s="7">
        <v>5063</v>
      </c>
      <c r="AL64" s="7">
        <v>6941</v>
      </c>
      <c r="AM64" s="7">
        <v>4339</v>
      </c>
      <c r="AN64" s="7">
        <v>5030</v>
      </c>
      <c r="AO64" s="7">
        <v>4432</v>
      </c>
      <c r="AQ64" s="7"/>
      <c r="AR64" s="7"/>
    </row>
    <row r="65" spans="1:44" x14ac:dyDescent="0.25">
      <c r="A65" s="6" t="s">
        <v>101</v>
      </c>
      <c r="B65" s="6" t="s">
        <v>180</v>
      </c>
      <c r="C65" s="6" t="s">
        <v>51</v>
      </c>
      <c r="D65" s="6" t="s">
        <v>232</v>
      </c>
      <c r="E65" s="6" t="s">
        <v>29</v>
      </c>
      <c r="F65" s="7">
        <v>7226</v>
      </c>
      <c r="G65" s="7">
        <v>9156</v>
      </c>
      <c r="H65" s="7">
        <v>8873</v>
      </c>
      <c r="I65" s="7">
        <v>4402</v>
      </c>
      <c r="J65" s="7">
        <v>1031</v>
      </c>
      <c r="K65" s="7">
        <v>3528</v>
      </c>
      <c r="L65" s="7">
        <v>8784</v>
      </c>
      <c r="M65" s="7">
        <v>3820</v>
      </c>
      <c r="N65" s="7">
        <v>7817</v>
      </c>
      <c r="O65" s="7">
        <v>6281</v>
      </c>
      <c r="P65" s="7">
        <v>4517</v>
      </c>
      <c r="Q65" s="7">
        <v>2730</v>
      </c>
      <c r="R65" s="7">
        <v>2714</v>
      </c>
      <c r="S65" s="7">
        <v>4652</v>
      </c>
      <c r="T65" s="7">
        <v>9736</v>
      </c>
      <c r="U65" s="7">
        <v>8707</v>
      </c>
      <c r="V65" s="7">
        <v>3383</v>
      </c>
      <c r="W65" s="7">
        <v>5445</v>
      </c>
      <c r="X65" s="7">
        <v>6863</v>
      </c>
      <c r="Y65" s="7">
        <v>5802</v>
      </c>
      <c r="Z65" s="7">
        <v>571</v>
      </c>
      <c r="AA65" s="7">
        <v>4602</v>
      </c>
      <c r="AB65" s="7">
        <v>396</v>
      </c>
      <c r="AC65" s="7">
        <v>7939</v>
      </c>
      <c r="AD65" s="7">
        <v>1512</v>
      </c>
      <c r="AE65" s="7">
        <v>7625</v>
      </c>
      <c r="AF65" s="7">
        <v>9856</v>
      </c>
      <c r="AG65" s="7">
        <v>9695</v>
      </c>
      <c r="AH65" s="7">
        <v>5720</v>
      </c>
      <c r="AI65" s="7">
        <v>2781</v>
      </c>
      <c r="AJ65" s="7">
        <v>4370</v>
      </c>
      <c r="AK65" s="7">
        <v>158</v>
      </c>
      <c r="AL65" s="7">
        <v>1543</v>
      </c>
      <c r="AM65" s="7">
        <v>991</v>
      </c>
      <c r="AN65" s="7">
        <v>3456</v>
      </c>
      <c r="AO65" s="7">
        <v>528</v>
      </c>
      <c r="AQ65" s="7"/>
      <c r="AR65" s="7"/>
    </row>
    <row r="66" spans="1:44" x14ac:dyDescent="0.25">
      <c r="A66" s="6" t="s">
        <v>101</v>
      </c>
      <c r="B66" s="6" t="s">
        <v>180</v>
      </c>
      <c r="C66" s="6" t="s">
        <v>58</v>
      </c>
      <c r="D66" s="6" t="s">
        <v>229</v>
      </c>
      <c r="E66" s="6" t="s">
        <v>59</v>
      </c>
      <c r="F66" s="7">
        <v>6024</v>
      </c>
      <c r="G66" s="7">
        <v>9721</v>
      </c>
      <c r="H66" s="7">
        <v>7612</v>
      </c>
      <c r="I66" s="7">
        <v>7892</v>
      </c>
      <c r="J66" s="7">
        <v>3551</v>
      </c>
      <c r="K66" s="7">
        <v>2617</v>
      </c>
      <c r="L66" s="7">
        <v>6378</v>
      </c>
      <c r="M66" s="7">
        <v>150</v>
      </c>
      <c r="N66" s="7">
        <v>3635</v>
      </c>
      <c r="O66" s="7">
        <v>2602</v>
      </c>
      <c r="P66" s="7">
        <v>1370</v>
      </c>
      <c r="Q66" s="7">
        <v>520</v>
      </c>
      <c r="R66" s="7">
        <v>7703</v>
      </c>
      <c r="S66" s="7">
        <v>7033</v>
      </c>
      <c r="T66" s="7">
        <v>8082</v>
      </c>
      <c r="U66" s="7">
        <v>204</v>
      </c>
      <c r="V66" s="7">
        <v>7182</v>
      </c>
      <c r="W66" s="7">
        <v>101</v>
      </c>
      <c r="X66" s="7">
        <v>5215</v>
      </c>
      <c r="Y66" s="7">
        <v>7492</v>
      </c>
      <c r="Z66" s="7">
        <v>1938</v>
      </c>
      <c r="AA66" s="7">
        <v>3979</v>
      </c>
      <c r="AB66" s="7">
        <v>4182</v>
      </c>
      <c r="AC66" s="7">
        <v>7978</v>
      </c>
      <c r="AD66" s="7">
        <v>8737</v>
      </c>
      <c r="AE66" s="7">
        <v>5572</v>
      </c>
      <c r="AF66" s="7">
        <v>919</v>
      </c>
      <c r="AG66" s="7">
        <v>3661</v>
      </c>
      <c r="AH66" s="7">
        <v>929</v>
      </c>
      <c r="AI66" s="7">
        <v>3034</v>
      </c>
      <c r="AJ66" s="7">
        <v>600</v>
      </c>
      <c r="AK66" s="7">
        <v>6343</v>
      </c>
      <c r="AL66" s="7">
        <v>1714</v>
      </c>
      <c r="AM66" s="7">
        <v>8469</v>
      </c>
      <c r="AN66" s="7">
        <v>9771</v>
      </c>
      <c r="AO66" s="7">
        <v>7524</v>
      </c>
      <c r="AQ66" s="7"/>
      <c r="AR66" s="7"/>
    </row>
    <row r="67" spans="1:44" x14ac:dyDescent="0.25">
      <c r="A67" s="6" t="s">
        <v>101</v>
      </c>
      <c r="B67" s="6" t="s">
        <v>180</v>
      </c>
      <c r="C67" s="6" t="s">
        <v>64</v>
      </c>
      <c r="D67" s="6" t="s">
        <v>251</v>
      </c>
      <c r="E67" s="6" t="s">
        <v>46</v>
      </c>
      <c r="F67" s="7">
        <v>1024</v>
      </c>
      <c r="G67" s="7">
        <v>7372</v>
      </c>
      <c r="H67" s="7">
        <v>5670</v>
      </c>
      <c r="I67" s="7">
        <v>1129</v>
      </c>
      <c r="J67" s="7">
        <v>1271</v>
      </c>
      <c r="K67" s="7">
        <v>8470</v>
      </c>
      <c r="L67" s="7">
        <v>6250</v>
      </c>
      <c r="M67" s="7">
        <v>5281</v>
      </c>
      <c r="N67" s="7">
        <v>3240</v>
      </c>
      <c r="O67" s="7">
        <v>684</v>
      </c>
      <c r="P67" s="7">
        <v>4735</v>
      </c>
      <c r="Q67" s="7">
        <v>3025</v>
      </c>
      <c r="R67" s="7">
        <v>3260</v>
      </c>
      <c r="S67" s="7">
        <v>1105</v>
      </c>
      <c r="T67" s="7">
        <v>837</v>
      </c>
      <c r="U67" s="7">
        <v>4986</v>
      </c>
      <c r="V67" s="7">
        <v>6937</v>
      </c>
      <c r="W67" s="7">
        <v>2450</v>
      </c>
      <c r="X67" s="7">
        <v>5478</v>
      </c>
      <c r="Y67" s="7">
        <v>8588</v>
      </c>
      <c r="Z67" s="7">
        <v>66</v>
      </c>
      <c r="AA67" s="7">
        <v>386</v>
      </c>
      <c r="AB67" s="7">
        <v>3328</v>
      </c>
      <c r="AC67" s="7">
        <v>7951</v>
      </c>
      <c r="AD67" s="7">
        <v>9465</v>
      </c>
      <c r="AE67" s="7">
        <v>7440</v>
      </c>
      <c r="AF67" s="7">
        <v>6644</v>
      </c>
      <c r="AG67" s="7">
        <v>5305</v>
      </c>
      <c r="AH67" s="7">
        <v>2496</v>
      </c>
      <c r="AI67" s="7">
        <v>8069</v>
      </c>
      <c r="AJ67" s="7">
        <v>8172</v>
      </c>
      <c r="AK67" s="7">
        <v>6193</v>
      </c>
      <c r="AL67" s="7">
        <v>9576</v>
      </c>
      <c r="AM67" s="7">
        <v>5973</v>
      </c>
      <c r="AN67" s="7">
        <v>3090</v>
      </c>
      <c r="AO67" s="7">
        <v>819</v>
      </c>
      <c r="AQ67" s="7"/>
      <c r="AR67" s="7"/>
    </row>
    <row r="68" spans="1:44" x14ac:dyDescent="0.25">
      <c r="A68" s="6" t="s">
        <v>92</v>
      </c>
      <c r="B68" s="6" t="s">
        <v>181</v>
      </c>
      <c r="C68" s="6" t="s">
        <v>93</v>
      </c>
      <c r="D68" s="6" t="s">
        <v>238</v>
      </c>
      <c r="E68" s="6" t="s">
        <v>70</v>
      </c>
      <c r="F68" s="7">
        <v>787</v>
      </c>
      <c r="G68" s="7">
        <v>350</v>
      </c>
      <c r="H68" s="7">
        <v>371</v>
      </c>
      <c r="I68" s="7">
        <v>1834</v>
      </c>
      <c r="J68" s="7">
        <v>1894</v>
      </c>
      <c r="K68" s="7">
        <v>1348</v>
      </c>
      <c r="L68" s="7">
        <v>8905</v>
      </c>
      <c r="M68" s="7">
        <v>7794</v>
      </c>
      <c r="N68" s="7">
        <v>3249</v>
      </c>
      <c r="O68" s="7">
        <v>7439</v>
      </c>
      <c r="P68" s="7">
        <v>794</v>
      </c>
      <c r="Q68" s="7">
        <v>4222</v>
      </c>
      <c r="R68" s="7">
        <v>9009</v>
      </c>
      <c r="S68" s="7">
        <v>4057</v>
      </c>
      <c r="T68" s="7">
        <v>585</v>
      </c>
      <c r="U68" s="7">
        <v>1487</v>
      </c>
      <c r="V68" s="7">
        <v>1125</v>
      </c>
      <c r="W68" s="7">
        <v>9217</v>
      </c>
      <c r="X68" s="7">
        <v>234</v>
      </c>
      <c r="Y68" s="7">
        <v>9307</v>
      </c>
      <c r="Z68" s="7">
        <v>8051</v>
      </c>
      <c r="AA68" s="7">
        <v>7074</v>
      </c>
      <c r="AB68" s="7">
        <v>5249</v>
      </c>
      <c r="AC68" s="7">
        <v>1385</v>
      </c>
      <c r="AD68" s="7">
        <v>6704</v>
      </c>
      <c r="AE68" s="7">
        <v>1969</v>
      </c>
      <c r="AF68" s="7">
        <v>2044</v>
      </c>
      <c r="AG68" s="7">
        <v>498</v>
      </c>
      <c r="AH68" s="7">
        <v>6778</v>
      </c>
      <c r="AI68" s="7">
        <v>4066</v>
      </c>
      <c r="AJ68" s="7">
        <v>2491</v>
      </c>
      <c r="AK68" s="7">
        <v>4950</v>
      </c>
      <c r="AL68" s="7">
        <v>3173</v>
      </c>
      <c r="AM68" s="7">
        <v>1288</v>
      </c>
      <c r="AN68" s="7">
        <v>5240</v>
      </c>
      <c r="AO68" s="7">
        <v>9310</v>
      </c>
      <c r="AQ68" s="7"/>
      <c r="AR68" s="7"/>
    </row>
    <row r="69" spans="1:44" x14ac:dyDescent="0.25">
      <c r="A69" s="6" t="s">
        <v>143</v>
      </c>
      <c r="B69" s="6" t="s">
        <v>182</v>
      </c>
      <c r="C69" s="6" t="s">
        <v>32</v>
      </c>
      <c r="D69" s="6" t="s">
        <v>256</v>
      </c>
      <c r="E69" s="6" t="s">
        <v>33</v>
      </c>
      <c r="F69" s="7">
        <v>6097</v>
      </c>
      <c r="G69" s="7">
        <v>9086</v>
      </c>
      <c r="H69" s="7">
        <v>1361</v>
      </c>
      <c r="I69" s="7">
        <v>9760</v>
      </c>
      <c r="J69" s="7">
        <v>2260</v>
      </c>
      <c r="K69" s="7">
        <v>3662</v>
      </c>
      <c r="L69" s="7">
        <v>7727</v>
      </c>
      <c r="M69" s="7">
        <v>2070</v>
      </c>
      <c r="N69" s="7">
        <v>196</v>
      </c>
      <c r="O69" s="7">
        <v>8189</v>
      </c>
      <c r="P69" s="7">
        <v>234</v>
      </c>
      <c r="Q69" s="7">
        <v>6337</v>
      </c>
      <c r="R69" s="7">
        <v>8452</v>
      </c>
      <c r="S69" s="7">
        <v>3732</v>
      </c>
      <c r="T69" s="7">
        <v>3747</v>
      </c>
      <c r="U69" s="7">
        <v>9178</v>
      </c>
      <c r="V69" s="7">
        <v>1017</v>
      </c>
      <c r="W69" s="7">
        <v>1339</v>
      </c>
      <c r="X69" s="7">
        <v>774</v>
      </c>
      <c r="Y69" s="7">
        <v>5566</v>
      </c>
      <c r="Z69" s="7">
        <v>5022</v>
      </c>
      <c r="AA69" s="7">
        <v>6595</v>
      </c>
      <c r="AB69" s="7">
        <v>3888</v>
      </c>
      <c r="AC69" s="7">
        <v>9173</v>
      </c>
      <c r="AD69" s="7">
        <v>9429</v>
      </c>
      <c r="AE69" s="7">
        <v>8571</v>
      </c>
      <c r="AF69" s="7">
        <v>8274</v>
      </c>
      <c r="AG69" s="7">
        <v>4273</v>
      </c>
      <c r="AH69" s="7">
        <v>8087</v>
      </c>
      <c r="AI69" s="7">
        <v>5488</v>
      </c>
      <c r="AJ69" s="7">
        <v>3204</v>
      </c>
      <c r="AK69" s="7">
        <v>7893</v>
      </c>
      <c r="AL69" s="7">
        <v>9414</v>
      </c>
      <c r="AM69" s="7">
        <v>3405</v>
      </c>
      <c r="AN69" s="7">
        <v>822</v>
      </c>
      <c r="AO69" s="7">
        <v>7492</v>
      </c>
      <c r="AQ69" s="7"/>
      <c r="AR69" s="7"/>
    </row>
    <row r="70" spans="1:44" x14ac:dyDescent="0.25">
      <c r="A70" s="6" t="s">
        <v>131</v>
      </c>
      <c r="B70" s="6" t="s">
        <v>183</v>
      </c>
      <c r="C70" s="6" t="s">
        <v>58</v>
      </c>
      <c r="D70" s="6" t="s">
        <v>229</v>
      </c>
      <c r="E70" s="6" t="s">
        <v>59</v>
      </c>
      <c r="F70" s="7">
        <v>5190</v>
      </c>
      <c r="G70" s="7">
        <v>1802</v>
      </c>
      <c r="H70" s="7">
        <v>3281</v>
      </c>
      <c r="I70" s="7">
        <v>5477</v>
      </c>
      <c r="J70" s="7">
        <v>1452</v>
      </c>
      <c r="K70" s="7">
        <v>4485</v>
      </c>
      <c r="L70" s="7">
        <v>4014</v>
      </c>
      <c r="M70" s="7">
        <v>9368</v>
      </c>
      <c r="N70" s="7">
        <v>8678</v>
      </c>
      <c r="O70" s="7">
        <v>2704</v>
      </c>
      <c r="P70" s="7">
        <v>6888</v>
      </c>
      <c r="Q70" s="7">
        <v>2259</v>
      </c>
      <c r="R70" s="7">
        <v>9425</v>
      </c>
      <c r="S70" s="7">
        <v>520</v>
      </c>
      <c r="T70" s="7">
        <v>8045</v>
      </c>
      <c r="U70" s="7">
        <v>6705</v>
      </c>
      <c r="V70" s="7">
        <v>6437</v>
      </c>
      <c r="W70" s="7">
        <v>2529</v>
      </c>
      <c r="X70" s="7">
        <v>7099</v>
      </c>
      <c r="Y70" s="7">
        <v>5744</v>
      </c>
      <c r="Z70" s="7">
        <v>9800</v>
      </c>
      <c r="AA70" s="7">
        <v>2211</v>
      </c>
      <c r="AB70" s="7">
        <v>8050</v>
      </c>
      <c r="AC70" s="7">
        <v>9626</v>
      </c>
      <c r="AD70" s="7">
        <v>7412</v>
      </c>
      <c r="AE70" s="7">
        <v>6411</v>
      </c>
      <c r="AF70" s="7">
        <v>9936</v>
      </c>
      <c r="AG70" s="7">
        <v>511</v>
      </c>
      <c r="AH70" s="7">
        <v>9774</v>
      </c>
      <c r="AI70" s="7">
        <v>9491</v>
      </c>
      <c r="AJ70" s="7">
        <v>2407</v>
      </c>
      <c r="AK70" s="7">
        <v>4230</v>
      </c>
      <c r="AL70" s="7">
        <v>2674</v>
      </c>
      <c r="AM70" s="7">
        <v>3620</v>
      </c>
      <c r="AN70" s="7">
        <v>8081</v>
      </c>
      <c r="AO70" s="7">
        <v>6929</v>
      </c>
      <c r="AQ70" s="7"/>
      <c r="AR70" s="7"/>
    </row>
    <row r="71" spans="1:44" x14ac:dyDescent="0.25">
      <c r="A71" s="6" t="s">
        <v>131</v>
      </c>
      <c r="B71" s="6" t="s">
        <v>183</v>
      </c>
      <c r="C71" s="6" t="s">
        <v>61</v>
      </c>
      <c r="D71" s="6" t="s">
        <v>243</v>
      </c>
      <c r="E71" s="6" t="s">
        <v>59</v>
      </c>
      <c r="F71" s="7">
        <v>5001</v>
      </c>
      <c r="G71" s="7">
        <v>776</v>
      </c>
      <c r="H71" s="7">
        <v>6560</v>
      </c>
      <c r="I71" s="7">
        <v>5577</v>
      </c>
      <c r="J71" s="7">
        <v>2600</v>
      </c>
      <c r="K71" s="7">
        <v>5815</v>
      </c>
      <c r="L71" s="7">
        <v>7486</v>
      </c>
      <c r="M71" s="7">
        <v>1299</v>
      </c>
      <c r="N71" s="7">
        <v>195</v>
      </c>
      <c r="O71" s="7">
        <v>2122</v>
      </c>
      <c r="P71" s="7">
        <v>9436</v>
      </c>
      <c r="Q71" s="7">
        <v>5284</v>
      </c>
      <c r="R71" s="7">
        <v>3769</v>
      </c>
      <c r="S71" s="7">
        <v>559</v>
      </c>
      <c r="T71" s="7">
        <v>7337</v>
      </c>
      <c r="U71" s="7">
        <v>4845</v>
      </c>
      <c r="V71" s="7">
        <v>6015</v>
      </c>
      <c r="W71" s="7">
        <v>4170</v>
      </c>
      <c r="X71" s="7">
        <v>2481</v>
      </c>
      <c r="Y71" s="7">
        <v>8130</v>
      </c>
      <c r="Z71" s="7">
        <v>8043</v>
      </c>
      <c r="AA71" s="7">
        <v>96</v>
      </c>
      <c r="AB71" s="7">
        <v>510</v>
      </c>
      <c r="AC71" s="7">
        <v>421</v>
      </c>
      <c r="AD71" s="7">
        <v>6178</v>
      </c>
      <c r="AE71" s="7">
        <v>7459</v>
      </c>
      <c r="AF71" s="7">
        <v>4192</v>
      </c>
      <c r="AG71" s="7">
        <v>5739</v>
      </c>
      <c r="AH71" s="7">
        <v>7951</v>
      </c>
      <c r="AI71" s="7">
        <v>7824</v>
      </c>
      <c r="AJ71" s="7">
        <v>9606</v>
      </c>
      <c r="AK71" s="7">
        <v>4718</v>
      </c>
      <c r="AL71" s="7">
        <v>5644</v>
      </c>
      <c r="AM71" s="7">
        <v>6372</v>
      </c>
      <c r="AN71" s="7">
        <v>3212</v>
      </c>
      <c r="AO71" s="7">
        <v>4230</v>
      </c>
      <c r="AQ71" s="7"/>
      <c r="AR71" s="7"/>
    </row>
    <row r="72" spans="1:44" x14ac:dyDescent="0.25">
      <c r="A72" s="6" t="s">
        <v>131</v>
      </c>
      <c r="B72" s="6" t="s">
        <v>183</v>
      </c>
      <c r="C72" s="6" t="s">
        <v>66</v>
      </c>
      <c r="D72" s="6" t="s">
        <v>258</v>
      </c>
      <c r="E72" s="6" t="s">
        <v>29</v>
      </c>
      <c r="F72" s="7">
        <v>3863</v>
      </c>
      <c r="G72" s="7">
        <v>8083</v>
      </c>
      <c r="H72" s="7">
        <v>3408</v>
      </c>
      <c r="I72" s="7">
        <v>3905</v>
      </c>
      <c r="J72" s="7">
        <v>1822</v>
      </c>
      <c r="K72" s="7">
        <v>7850</v>
      </c>
      <c r="L72" s="7">
        <v>3039</v>
      </c>
      <c r="M72" s="7">
        <v>8334</v>
      </c>
      <c r="N72" s="7">
        <v>6237</v>
      </c>
      <c r="O72" s="7">
        <v>3649</v>
      </c>
      <c r="P72" s="7">
        <v>1478</v>
      </c>
      <c r="Q72" s="7">
        <v>4306</v>
      </c>
      <c r="R72" s="7">
        <v>3813</v>
      </c>
      <c r="S72" s="7">
        <v>5474</v>
      </c>
      <c r="T72" s="7">
        <v>8125</v>
      </c>
      <c r="U72" s="7">
        <v>3165</v>
      </c>
      <c r="V72" s="7">
        <v>2039</v>
      </c>
      <c r="W72" s="7">
        <v>9036</v>
      </c>
      <c r="X72" s="7">
        <v>398</v>
      </c>
      <c r="Y72" s="7">
        <v>4880</v>
      </c>
      <c r="Z72" s="7">
        <v>5089</v>
      </c>
      <c r="AA72" s="7">
        <v>41</v>
      </c>
      <c r="AB72" s="7">
        <v>5704</v>
      </c>
      <c r="AC72" s="7">
        <v>6861</v>
      </c>
      <c r="AD72" s="7">
        <v>9940</v>
      </c>
      <c r="AE72" s="7">
        <v>5423</v>
      </c>
      <c r="AF72" s="7">
        <v>2259</v>
      </c>
      <c r="AG72" s="7">
        <v>342</v>
      </c>
      <c r="AH72" s="7">
        <v>9814</v>
      </c>
      <c r="AI72" s="7">
        <v>7790</v>
      </c>
      <c r="AJ72" s="7">
        <v>4929</v>
      </c>
      <c r="AK72" s="7">
        <v>956</v>
      </c>
      <c r="AL72" s="7">
        <v>5492</v>
      </c>
      <c r="AM72" s="7">
        <v>678</v>
      </c>
      <c r="AN72" s="7">
        <v>4657</v>
      </c>
      <c r="AO72" s="7">
        <v>6956</v>
      </c>
      <c r="AQ72" s="7"/>
      <c r="AR72" s="7"/>
    </row>
    <row r="73" spans="1:44" x14ac:dyDescent="0.25">
      <c r="A73" s="6" t="s">
        <v>88</v>
      </c>
      <c r="B73" s="6" t="s">
        <v>184</v>
      </c>
      <c r="C73" s="6" t="s">
        <v>86</v>
      </c>
      <c r="D73" s="6" t="s">
        <v>246</v>
      </c>
      <c r="E73" s="6" t="s">
        <v>29</v>
      </c>
      <c r="F73" s="7">
        <v>8695</v>
      </c>
      <c r="G73" s="7">
        <v>4034</v>
      </c>
      <c r="H73" s="7">
        <v>1844</v>
      </c>
      <c r="I73" s="7">
        <v>9908</v>
      </c>
      <c r="J73" s="7">
        <v>2788</v>
      </c>
      <c r="K73" s="7">
        <v>3517</v>
      </c>
      <c r="L73" s="7">
        <v>2226</v>
      </c>
      <c r="M73" s="7">
        <v>723</v>
      </c>
      <c r="N73" s="7">
        <v>3132</v>
      </c>
      <c r="O73" s="7">
        <v>9693</v>
      </c>
      <c r="P73" s="7">
        <v>2301</v>
      </c>
      <c r="Q73" s="7">
        <v>1373</v>
      </c>
      <c r="R73" s="7">
        <v>1446</v>
      </c>
      <c r="S73" s="7">
        <v>5132</v>
      </c>
      <c r="T73" s="7">
        <v>6983</v>
      </c>
      <c r="U73" s="7">
        <v>4320</v>
      </c>
      <c r="V73" s="7">
        <v>3689</v>
      </c>
      <c r="W73" s="7">
        <v>8616</v>
      </c>
      <c r="X73" s="7">
        <v>3750</v>
      </c>
      <c r="Y73" s="7">
        <v>7862</v>
      </c>
      <c r="Z73" s="7">
        <v>4985</v>
      </c>
      <c r="AA73" s="7">
        <v>5514</v>
      </c>
      <c r="AB73" s="7">
        <v>4355</v>
      </c>
      <c r="AC73" s="7">
        <v>5896</v>
      </c>
      <c r="AD73" s="7">
        <v>3548</v>
      </c>
      <c r="AE73" s="7">
        <v>8998</v>
      </c>
      <c r="AF73" s="7">
        <v>5350</v>
      </c>
      <c r="AG73" s="7">
        <v>5733</v>
      </c>
      <c r="AH73" s="7">
        <v>4988</v>
      </c>
      <c r="AI73" s="7">
        <v>8504</v>
      </c>
      <c r="AJ73" s="7">
        <v>9326</v>
      </c>
      <c r="AK73" s="7">
        <v>7324</v>
      </c>
      <c r="AL73" s="7">
        <v>8503</v>
      </c>
      <c r="AM73" s="7">
        <v>1137</v>
      </c>
      <c r="AN73" s="7">
        <v>2027</v>
      </c>
      <c r="AO73" s="7">
        <v>2359</v>
      </c>
      <c r="AQ73" s="7"/>
      <c r="AR73" s="7"/>
    </row>
    <row r="74" spans="1:44" x14ac:dyDescent="0.25">
      <c r="A74" s="6" t="s">
        <v>88</v>
      </c>
      <c r="B74" s="6" t="s">
        <v>184</v>
      </c>
      <c r="C74" s="6" t="s">
        <v>45</v>
      </c>
      <c r="D74" s="6" t="s">
        <v>248</v>
      </c>
      <c r="E74" s="6" t="s">
        <v>46</v>
      </c>
      <c r="F74" s="7">
        <v>3852</v>
      </c>
      <c r="G74" s="7">
        <v>9642</v>
      </c>
      <c r="H74" s="7">
        <v>14</v>
      </c>
      <c r="I74" s="7">
        <v>4602</v>
      </c>
      <c r="J74" s="7">
        <v>3975</v>
      </c>
      <c r="K74" s="7">
        <v>8988</v>
      </c>
      <c r="L74" s="7">
        <v>1263</v>
      </c>
      <c r="M74" s="7">
        <v>2836</v>
      </c>
      <c r="N74" s="7">
        <v>3502</v>
      </c>
      <c r="O74" s="7">
        <v>2589</v>
      </c>
      <c r="P74" s="7">
        <v>5395</v>
      </c>
      <c r="Q74" s="7">
        <v>7264</v>
      </c>
      <c r="R74" s="7">
        <v>4282</v>
      </c>
      <c r="S74" s="7">
        <v>348</v>
      </c>
      <c r="T74" s="7">
        <v>9125</v>
      </c>
      <c r="U74" s="7">
        <v>3738</v>
      </c>
      <c r="V74" s="7">
        <v>455</v>
      </c>
      <c r="W74" s="7">
        <v>8456</v>
      </c>
      <c r="X74" s="7">
        <v>4918</v>
      </c>
      <c r="Y74" s="7">
        <v>1669</v>
      </c>
      <c r="Z74" s="7">
        <v>7880</v>
      </c>
      <c r="AA74" s="7">
        <v>8506</v>
      </c>
      <c r="AB74" s="7">
        <v>7936</v>
      </c>
      <c r="AC74" s="7">
        <v>5580</v>
      </c>
      <c r="AD74" s="7">
        <v>2312</v>
      </c>
      <c r="AE74" s="7">
        <v>4007</v>
      </c>
      <c r="AF74" s="7">
        <v>5120</v>
      </c>
      <c r="AG74" s="7">
        <v>4647</v>
      </c>
      <c r="AH74" s="7">
        <v>3700</v>
      </c>
      <c r="AI74" s="7">
        <v>310</v>
      </c>
      <c r="AJ74" s="7">
        <v>1056</v>
      </c>
      <c r="AK74" s="7">
        <v>4269</v>
      </c>
      <c r="AL74" s="7">
        <v>9950</v>
      </c>
      <c r="AM74" s="7">
        <v>6196</v>
      </c>
      <c r="AN74" s="7">
        <v>4746</v>
      </c>
      <c r="AO74" s="7">
        <v>922</v>
      </c>
      <c r="AQ74" s="7"/>
      <c r="AR74" s="7"/>
    </row>
    <row r="75" spans="1:44" x14ac:dyDescent="0.25">
      <c r="A75" s="6" t="s">
        <v>141</v>
      </c>
      <c r="B75" s="6" t="s">
        <v>185</v>
      </c>
      <c r="C75" s="6" t="s">
        <v>72</v>
      </c>
      <c r="D75" s="6" t="s">
        <v>240</v>
      </c>
      <c r="E75" s="6" t="s">
        <v>26</v>
      </c>
      <c r="F75" s="7">
        <v>3138</v>
      </c>
      <c r="G75" s="7">
        <v>5852</v>
      </c>
      <c r="H75" s="7">
        <v>8970</v>
      </c>
      <c r="I75" s="7">
        <v>6799</v>
      </c>
      <c r="J75" s="7">
        <v>2830</v>
      </c>
      <c r="K75" s="7">
        <v>7831</v>
      </c>
      <c r="L75" s="7">
        <v>1526</v>
      </c>
      <c r="M75" s="7">
        <v>9288</v>
      </c>
      <c r="N75" s="7">
        <v>276</v>
      </c>
      <c r="O75" s="7">
        <v>5257</v>
      </c>
      <c r="P75" s="7">
        <v>8084</v>
      </c>
      <c r="Q75" s="7">
        <v>1634</v>
      </c>
      <c r="R75" s="7">
        <v>6075</v>
      </c>
      <c r="S75" s="7">
        <v>3282</v>
      </c>
      <c r="T75" s="7">
        <v>9050</v>
      </c>
      <c r="U75" s="7">
        <v>9622</v>
      </c>
      <c r="V75" s="7">
        <v>1226</v>
      </c>
      <c r="W75" s="7">
        <v>3754</v>
      </c>
      <c r="X75" s="7">
        <v>8090</v>
      </c>
      <c r="Y75" s="7">
        <v>2493</v>
      </c>
      <c r="Z75" s="7">
        <v>8159</v>
      </c>
      <c r="AA75" s="7">
        <v>3356</v>
      </c>
      <c r="AB75" s="7">
        <v>2704</v>
      </c>
      <c r="AC75" s="7">
        <v>8932</v>
      </c>
      <c r="AD75" s="7">
        <v>2818</v>
      </c>
      <c r="AE75" s="7">
        <v>7750</v>
      </c>
      <c r="AF75" s="7">
        <v>6863</v>
      </c>
      <c r="AG75" s="7">
        <v>7036</v>
      </c>
      <c r="AH75" s="7">
        <v>299</v>
      </c>
      <c r="AI75" s="7">
        <v>3817</v>
      </c>
      <c r="AJ75" s="7">
        <v>2751</v>
      </c>
      <c r="AK75" s="7">
        <v>8758</v>
      </c>
      <c r="AL75" s="7">
        <v>5941</v>
      </c>
      <c r="AM75" s="7">
        <v>8991</v>
      </c>
      <c r="AN75" s="7">
        <v>4543</v>
      </c>
      <c r="AO75" s="7">
        <v>3679</v>
      </c>
      <c r="AQ75" s="7"/>
      <c r="AR75" s="7"/>
    </row>
    <row r="76" spans="1:44" x14ac:dyDescent="0.25">
      <c r="A76" s="6" t="s">
        <v>141</v>
      </c>
      <c r="B76" s="6" t="s">
        <v>185</v>
      </c>
      <c r="C76" s="6" t="s">
        <v>45</v>
      </c>
      <c r="D76" s="6" t="s">
        <v>248</v>
      </c>
      <c r="E76" s="6" t="s">
        <v>46</v>
      </c>
      <c r="F76" s="7">
        <v>8112</v>
      </c>
      <c r="G76" s="7">
        <v>1067</v>
      </c>
      <c r="H76" s="7">
        <v>1784</v>
      </c>
      <c r="I76" s="7">
        <v>6054</v>
      </c>
      <c r="J76" s="7">
        <v>7791</v>
      </c>
      <c r="K76" s="7">
        <v>5174</v>
      </c>
      <c r="L76" s="7">
        <v>1145</v>
      </c>
      <c r="M76" s="7">
        <v>2035</v>
      </c>
      <c r="N76" s="7">
        <v>6032</v>
      </c>
      <c r="O76" s="7">
        <v>9139</v>
      </c>
      <c r="P76" s="7">
        <v>7145</v>
      </c>
      <c r="Q76" s="7">
        <v>2192</v>
      </c>
      <c r="R76" s="7">
        <v>2228</v>
      </c>
      <c r="S76" s="7">
        <v>3271</v>
      </c>
      <c r="T76" s="7">
        <v>2453</v>
      </c>
      <c r="U76" s="7">
        <v>3335</v>
      </c>
      <c r="V76" s="7">
        <v>9998</v>
      </c>
      <c r="W76" s="7">
        <v>6650</v>
      </c>
      <c r="X76" s="7">
        <v>2155</v>
      </c>
      <c r="Y76" s="7">
        <v>7691</v>
      </c>
      <c r="Z76" s="7">
        <v>2244</v>
      </c>
      <c r="AA76" s="7">
        <v>2173</v>
      </c>
      <c r="AB76" s="7">
        <v>9137</v>
      </c>
      <c r="AC76" s="7">
        <v>5848</v>
      </c>
      <c r="AD76" s="7">
        <v>5884</v>
      </c>
      <c r="AE76" s="7">
        <v>68</v>
      </c>
      <c r="AF76" s="7">
        <v>6831</v>
      </c>
      <c r="AG76" s="7">
        <v>1225</v>
      </c>
      <c r="AH76" s="7">
        <v>4399</v>
      </c>
      <c r="AI76" s="7">
        <v>8121</v>
      </c>
      <c r="AJ76" s="7">
        <v>2325</v>
      </c>
      <c r="AK76" s="7">
        <v>9889</v>
      </c>
      <c r="AL76" s="7">
        <v>6108</v>
      </c>
      <c r="AM76" s="7">
        <v>9214</v>
      </c>
      <c r="AN76" s="7">
        <v>7010</v>
      </c>
      <c r="AO76" s="7">
        <v>3177</v>
      </c>
      <c r="AQ76" s="7"/>
      <c r="AR76" s="7"/>
    </row>
    <row r="77" spans="1:44" x14ac:dyDescent="0.25">
      <c r="A77" s="6" t="s">
        <v>24</v>
      </c>
      <c r="B77" s="6" t="s">
        <v>186</v>
      </c>
      <c r="C77" s="6" t="s">
        <v>25</v>
      </c>
      <c r="D77" s="6" t="s">
        <v>234</v>
      </c>
      <c r="E77" s="6" t="s">
        <v>26</v>
      </c>
      <c r="F77" s="7">
        <v>9301</v>
      </c>
      <c r="G77" s="7">
        <v>2594</v>
      </c>
      <c r="H77" s="7">
        <v>6161</v>
      </c>
      <c r="I77" s="7">
        <v>5017</v>
      </c>
      <c r="J77" s="7">
        <v>4704</v>
      </c>
      <c r="K77" s="7">
        <v>5000</v>
      </c>
      <c r="L77" s="7">
        <v>5218</v>
      </c>
      <c r="M77" s="7">
        <v>2695</v>
      </c>
      <c r="N77" s="7">
        <v>6709</v>
      </c>
      <c r="O77" s="7">
        <v>5661</v>
      </c>
      <c r="P77" s="7">
        <v>5767</v>
      </c>
      <c r="Q77" s="7">
        <v>2181</v>
      </c>
      <c r="R77" s="7">
        <v>7713</v>
      </c>
      <c r="S77" s="7">
        <v>4146</v>
      </c>
      <c r="T77" s="7">
        <v>1831</v>
      </c>
      <c r="U77" s="7">
        <v>8993</v>
      </c>
      <c r="V77" s="7">
        <v>7069</v>
      </c>
      <c r="W77" s="7">
        <v>9323</v>
      </c>
      <c r="X77" s="7">
        <v>2510</v>
      </c>
      <c r="Y77" s="7">
        <v>1190</v>
      </c>
      <c r="Z77" s="7">
        <v>4624</v>
      </c>
      <c r="AA77" s="7">
        <v>615</v>
      </c>
      <c r="AB77" s="7">
        <v>7108</v>
      </c>
      <c r="AC77" s="7">
        <v>2641</v>
      </c>
      <c r="AD77" s="7">
        <v>1518</v>
      </c>
      <c r="AE77" s="7">
        <v>6541</v>
      </c>
      <c r="AF77" s="7">
        <v>6448</v>
      </c>
      <c r="AG77" s="7">
        <v>2514</v>
      </c>
      <c r="AH77" s="7">
        <v>8404</v>
      </c>
      <c r="AI77" s="7">
        <v>6077</v>
      </c>
      <c r="AJ77" s="7">
        <v>821</v>
      </c>
      <c r="AK77" s="7">
        <v>9966</v>
      </c>
      <c r="AL77" s="7">
        <v>2701</v>
      </c>
      <c r="AM77" s="7">
        <v>6579</v>
      </c>
      <c r="AN77" s="7">
        <v>1856</v>
      </c>
      <c r="AO77" s="7">
        <v>1433</v>
      </c>
      <c r="AQ77" s="7"/>
      <c r="AR77" s="7"/>
    </row>
    <row r="78" spans="1:44" x14ac:dyDescent="0.25">
      <c r="A78" s="6" t="s">
        <v>73</v>
      </c>
      <c r="B78" s="6" t="s">
        <v>187</v>
      </c>
      <c r="C78" s="6" t="s">
        <v>74</v>
      </c>
      <c r="D78" s="6" t="s">
        <v>266</v>
      </c>
      <c r="E78" s="6" t="s">
        <v>75</v>
      </c>
      <c r="F78" s="7">
        <v>6479</v>
      </c>
      <c r="G78" s="7">
        <v>3417</v>
      </c>
      <c r="H78" s="7">
        <v>6742</v>
      </c>
      <c r="I78" s="7">
        <v>5645</v>
      </c>
      <c r="J78" s="7">
        <v>8399</v>
      </c>
      <c r="K78" s="7">
        <v>1783</v>
      </c>
      <c r="L78" s="7">
        <v>2733</v>
      </c>
      <c r="M78" s="7">
        <v>7746</v>
      </c>
      <c r="N78" s="7">
        <v>1997</v>
      </c>
      <c r="O78" s="7">
        <v>231</v>
      </c>
      <c r="P78" s="7">
        <v>9851</v>
      </c>
      <c r="Q78" s="7">
        <v>5140</v>
      </c>
      <c r="R78" s="7">
        <v>7588</v>
      </c>
      <c r="S78" s="7">
        <v>1105</v>
      </c>
      <c r="T78" s="7">
        <v>3054</v>
      </c>
      <c r="U78" s="7">
        <v>9359</v>
      </c>
      <c r="V78" s="7">
        <v>3990</v>
      </c>
      <c r="W78" s="7">
        <v>3960</v>
      </c>
      <c r="X78" s="7">
        <v>4251</v>
      </c>
      <c r="Y78" s="7">
        <v>7248</v>
      </c>
      <c r="Z78" s="7">
        <v>844</v>
      </c>
      <c r="AA78" s="7">
        <v>9739</v>
      </c>
      <c r="AB78" s="7">
        <v>2556</v>
      </c>
      <c r="AC78" s="7">
        <v>7532</v>
      </c>
      <c r="AD78" s="7">
        <v>2611</v>
      </c>
      <c r="AE78" s="7">
        <v>3861</v>
      </c>
      <c r="AF78" s="7">
        <v>5813</v>
      </c>
      <c r="AG78" s="7">
        <v>1296</v>
      </c>
      <c r="AH78" s="7">
        <v>4973</v>
      </c>
      <c r="AI78" s="7">
        <v>8233</v>
      </c>
      <c r="AJ78" s="7">
        <v>7005</v>
      </c>
      <c r="AK78" s="7">
        <v>77</v>
      </c>
      <c r="AL78" s="7">
        <v>9078</v>
      </c>
      <c r="AM78" s="7">
        <v>1555</v>
      </c>
      <c r="AN78" s="7">
        <v>2113</v>
      </c>
      <c r="AO78" s="7">
        <v>5830</v>
      </c>
      <c r="AQ78" s="7"/>
      <c r="AR78" s="7"/>
    </row>
    <row r="79" spans="1:44" x14ac:dyDescent="0.25">
      <c r="A79" s="6" t="s">
        <v>73</v>
      </c>
      <c r="B79" s="6" t="s">
        <v>187</v>
      </c>
      <c r="C79" s="6" t="s">
        <v>76</v>
      </c>
      <c r="D79" s="6" t="s">
        <v>255</v>
      </c>
      <c r="E79" s="6" t="s">
        <v>33</v>
      </c>
      <c r="F79" s="7">
        <v>9242</v>
      </c>
      <c r="G79" s="7">
        <v>2268</v>
      </c>
      <c r="H79" s="7">
        <v>4995</v>
      </c>
      <c r="I79" s="7">
        <v>4751</v>
      </c>
      <c r="J79" s="7">
        <v>1516</v>
      </c>
      <c r="K79" s="7">
        <v>5438</v>
      </c>
      <c r="L79" s="7">
        <v>2698</v>
      </c>
      <c r="M79" s="7">
        <v>9474</v>
      </c>
      <c r="N79" s="7">
        <v>1332</v>
      </c>
      <c r="O79" s="7">
        <v>1546</v>
      </c>
      <c r="P79" s="7">
        <v>9014</v>
      </c>
      <c r="Q79" s="7">
        <v>3961</v>
      </c>
      <c r="R79" s="7">
        <v>3051</v>
      </c>
      <c r="S79" s="7">
        <v>4276</v>
      </c>
      <c r="T79" s="7">
        <v>2841</v>
      </c>
      <c r="U79" s="7">
        <v>7247</v>
      </c>
      <c r="V79" s="7">
        <v>8030</v>
      </c>
      <c r="W79" s="7">
        <v>3982</v>
      </c>
      <c r="X79" s="7">
        <v>4060</v>
      </c>
      <c r="Y79" s="7">
        <v>2461</v>
      </c>
      <c r="Z79" s="7">
        <v>6893</v>
      </c>
      <c r="AA79" s="7">
        <v>8687</v>
      </c>
      <c r="AB79" s="7">
        <v>1956</v>
      </c>
      <c r="AC79" s="7">
        <v>854</v>
      </c>
      <c r="AD79" s="7">
        <v>4915</v>
      </c>
      <c r="AE79" s="7">
        <v>2778</v>
      </c>
      <c r="AF79" s="7">
        <v>2948</v>
      </c>
      <c r="AG79" s="7">
        <v>2592</v>
      </c>
      <c r="AH79" s="7">
        <v>1718</v>
      </c>
      <c r="AI79" s="7">
        <v>2447</v>
      </c>
      <c r="AJ79" s="7">
        <v>132</v>
      </c>
      <c r="AK79" s="7">
        <v>5919</v>
      </c>
      <c r="AL79" s="7">
        <v>4223</v>
      </c>
      <c r="AM79" s="7">
        <v>5730</v>
      </c>
      <c r="AN79" s="7">
        <v>9144</v>
      </c>
      <c r="AO79" s="7">
        <v>8860</v>
      </c>
      <c r="AQ79" s="7"/>
      <c r="AR79" s="7"/>
    </row>
    <row r="80" spans="1:44" x14ac:dyDescent="0.25">
      <c r="A80" s="6" t="s">
        <v>41</v>
      </c>
      <c r="B80" s="6" t="s">
        <v>188</v>
      </c>
      <c r="C80" s="6" t="s">
        <v>95</v>
      </c>
      <c r="D80" s="6" t="s">
        <v>259</v>
      </c>
      <c r="E80" s="6" t="s">
        <v>75</v>
      </c>
      <c r="F80" s="7">
        <v>4374</v>
      </c>
      <c r="G80" s="7">
        <v>1972</v>
      </c>
      <c r="H80" s="7">
        <v>7189</v>
      </c>
      <c r="I80" s="7">
        <v>5043</v>
      </c>
      <c r="J80" s="7">
        <v>8923</v>
      </c>
      <c r="K80" s="7">
        <v>785</v>
      </c>
      <c r="L80" s="7">
        <v>9333</v>
      </c>
      <c r="M80" s="7">
        <v>1493</v>
      </c>
      <c r="N80" s="7">
        <v>6329</v>
      </c>
      <c r="O80" s="7">
        <v>7163</v>
      </c>
      <c r="P80" s="7">
        <v>2500</v>
      </c>
      <c r="Q80" s="7">
        <v>8883</v>
      </c>
      <c r="R80" s="7">
        <v>6803</v>
      </c>
      <c r="S80" s="7">
        <v>6538</v>
      </c>
      <c r="T80" s="7">
        <v>8529</v>
      </c>
      <c r="U80" s="7">
        <v>6555</v>
      </c>
      <c r="V80" s="7">
        <v>5383</v>
      </c>
      <c r="W80" s="7">
        <v>7889</v>
      </c>
      <c r="X80" s="7">
        <v>1837</v>
      </c>
      <c r="Y80" s="7">
        <v>386</v>
      </c>
      <c r="Z80" s="7">
        <v>6894</v>
      </c>
      <c r="AA80" s="7">
        <v>6834</v>
      </c>
      <c r="AB80" s="7">
        <v>9421</v>
      </c>
      <c r="AC80" s="7">
        <v>1580</v>
      </c>
      <c r="AD80" s="7">
        <v>1063</v>
      </c>
      <c r="AE80" s="7">
        <v>7747</v>
      </c>
      <c r="AF80" s="7">
        <v>9826</v>
      </c>
      <c r="AG80" s="7">
        <v>360</v>
      </c>
      <c r="AH80" s="7">
        <v>2160</v>
      </c>
      <c r="AI80" s="7">
        <v>3820</v>
      </c>
      <c r="AJ80" s="7">
        <v>1494</v>
      </c>
      <c r="AK80" s="7">
        <v>7909</v>
      </c>
      <c r="AL80" s="7">
        <v>2953</v>
      </c>
      <c r="AM80" s="7">
        <v>7969</v>
      </c>
      <c r="AN80" s="7">
        <v>7221</v>
      </c>
      <c r="AO80" s="7">
        <v>3748</v>
      </c>
      <c r="AQ80" s="7"/>
      <c r="AR80" s="7"/>
    </row>
    <row r="81" spans="1:44" x14ac:dyDescent="0.25">
      <c r="A81" s="6" t="s">
        <v>41</v>
      </c>
      <c r="B81" s="6" t="s">
        <v>188</v>
      </c>
      <c r="C81" s="6" t="s">
        <v>83</v>
      </c>
      <c r="D81" s="6" t="s">
        <v>267</v>
      </c>
      <c r="E81" s="6" t="s">
        <v>33</v>
      </c>
      <c r="F81" s="7">
        <v>1566</v>
      </c>
      <c r="G81" s="7">
        <v>2571</v>
      </c>
      <c r="H81" s="7">
        <v>5083</v>
      </c>
      <c r="I81" s="7">
        <v>8525</v>
      </c>
      <c r="J81" s="7">
        <v>2202</v>
      </c>
      <c r="K81" s="7">
        <v>3160</v>
      </c>
      <c r="L81" s="7">
        <v>4702</v>
      </c>
      <c r="M81" s="7">
        <v>5191</v>
      </c>
      <c r="N81" s="7">
        <v>4835</v>
      </c>
      <c r="O81" s="7">
        <v>5466</v>
      </c>
      <c r="P81" s="7">
        <v>3155</v>
      </c>
      <c r="Q81" s="7">
        <v>8199</v>
      </c>
      <c r="R81" s="7">
        <v>5965</v>
      </c>
      <c r="S81" s="7">
        <v>3457</v>
      </c>
      <c r="T81" s="7">
        <v>6742</v>
      </c>
      <c r="U81" s="7">
        <v>2093</v>
      </c>
      <c r="V81" s="7">
        <v>1955</v>
      </c>
      <c r="W81" s="7">
        <v>8020</v>
      </c>
      <c r="X81" s="7">
        <v>8738</v>
      </c>
      <c r="Y81" s="7">
        <v>9530</v>
      </c>
      <c r="Z81" s="7">
        <v>5249</v>
      </c>
      <c r="AA81" s="7">
        <v>3216</v>
      </c>
      <c r="AB81" s="7">
        <v>3630</v>
      </c>
      <c r="AC81" s="7">
        <v>4777</v>
      </c>
      <c r="AD81" s="7">
        <v>9849</v>
      </c>
      <c r="AE81" s="7">
        <v>1637</v>
      </c>
      <c r="AF81" s="7">
        <v>2609</v>
      </c>
      <c r="AG81" s="7">
        <v>2713</v>
      </c>
      <c r="AH81" s="7">
        <v>4262</v>
      </c>
      <c r="AI81" s="7">
        <v>7528</v>
      </c>
      <c r="AJ81" s="7">
        <v>2739</v>
      </c>
      <c r="AK81" s="7">
        <v>2403</v>
      </c>
      <c r="AL81" s="7">
        <v>651</v>
      </c>
      <c r="AM81" s="7">
        <v>6628</v>
      </c>
      <c r="AN81" s="7">
        <v>9618</v>
      </c>
      <c r="AO81" s="7">
        <v>3449</v>
      </c>
      <c r="AQ81" s="7"/>
      <c r="AR81" s="7"/>
    </row>
    <row r="82" spans="1:44" x14ac:dyDescent="0.25">
      <c r="A82" s="6" t="s">
        <v>41</v>
      </c>
      <c r="B82" s="6" t="s">
        <v>188</v>
      </c>
      <c r="C82" s="6" t="s">
        <v>42</v>
      </c>
      <c r="D82" s="6" t="s">
        <v>263</v>
      </c>
      <c r="E82" s="6" t="s">
        <v>43</v>
      </c>
      <c r="F82" s="7">
        <v>3477</v>
      </c>
      <c r="G82" s="7">
        <v>1788</v>
      </c>
      <c r="H82" s="7">
        <v>1258</v>
      </c>
      <c r="I82" s="7">
        <v>3560</v>
      </c>
      <c r="J82" s="7">
        <v>1278</v>
      </c>
      <c r="K82" s="7">
        <v>7842</v>
      </c>
      <c r="L82" s="7">
        <v>2089</v>
      </c>
      <c r="M82" s="7">
        <v>5923</v>
      </c>
      <c r="N82" s="7">
        <v>6528</v>
      </c>
      <c r="O82" s="7">
        <v>729</v>
      </c>
      <c r="P82" s="7">
        <v>4774</v>
      </c>
      <c r="Q82" s="7">
        <v>239</v>
      </c>
      <c r="R82" s="7">
        <v>967</v>
      </c>
      <c r="S82" s="7">
        <v>7223</v>
      </c>
      <c r="T82" s="7">
        <v>4223</v>
      </c>
      <c r="U82" s="7">
        <v>3678</v>
      </c>
      <c r="V82" s="7">
        <v>7410</v>
      </c>
      <c r="W82" s="7">
        <v>4121</v>
      </c>
      <c r="X82" s="7">
        <v>4923</v>
      </c>
      <c r="Y82" s="7">
        <v>3887</v>
      </c>
      <c r="Z82" s="7">
        <v>5554</v>
      </c>
      <c r="AA82" s="7">
        <v>9656</v>
      </c>
      <c r="AB82" s="7">
        <v>7496</v>
      </c>
      <c r="AC82" s="7">
        <v>7526</v>
      </c>
      <c r="AD82" s="7">
        <v>7157</v>
      </c>
      <c r="AE82" s="7">
        <v>5956</v>
      </c>
      <c r="AF82" s="7">
        <v>8518</v>
      </c>
      <c r="AG82" s="7">
        <v>496</v>
      </c>
      <c r="AH82" s="7">
        <v>4347</v>
      </c>
      <c r="AI82" s="7">
        <v>8407</v>
      </c>
      <c r="AJ82" s="7">
        <v>8013</v>
      </c>
      <c r="AK82" s="7">
        <v>5583</v>
      </c>
      <c r="AL82" s="7">
        <v>3419</v>
      </c>
      <c r="AM82" s="7">
        <v>6211</v>
      </c>
      <c r="AN82" s="7">
        <v>934</v>
      </c>
      <c r="AO82" s="7">
        <v>5880</v>
      </c>
      <c r="AQ82" s="7"/>
      <c r="AR82" s="7"/>
    </row>
    <row r="83" spans="1:44" x14ac:dyDescent="0.25">
      <c r="A83" s="6" t="s">
        <v>153</v>
      </c>
      <c r="B83" s="6" t="s">
        <v>189</v>
      </c>
      <c r="C83" s="6" t="s">
        <v>121</v>
      </c>
      <c r="D83" s="6" t="s">
        <v>230</v>
      </c>
      <c r="E83" s="6" t="s">
        <v>59</v>
      </c>
      <c r="F83" s="7">
        <v>1177</v>
      </c>
      <c r="G83" s="7">
        <v>6916</v>
      </c>
      <c r="H83" s="7">
        <v>619</v>
      </c>
      <c r="I83" s="7">
        <v>6988</v>
      </c>
      <c r="J83" s="7">
        <v>2025</v>
      </c>
      <c r="K83" s="7">
        <v>3949</v>
      </c>
      <c r="L83" s="7">
        <v>2666</v>
      </c>
      <c r="M83" s="7">
        <v>2279</v>
      </c>
      <c r="N83" s="7">
        <v>4896</v>
      </c>
      <c r="O83" s="7">
        <v>4227</v>
      </c>
      <c r="P83" s="7">
        <v>7546</v>
      </c>
      <c r="Q83" s="7">
        <v>6892</v>
      </c>
      <c r="R83" s="7">
        <v>4190</v>
      </c>
      <c r="S83" s="7">
        <v>4308</v>
      </c>
      <c r="T83" s="7">
        <v>5209</v>
      </c>
      <c r="U83" s="7">
        <v>8480</v>
      </c>
      <c r="V83" s="7">
        <v>7484</v>
      </c>
      <c r="W83" s="7">
        <v>8826</v>
      </c>
      <c r="X83" s="7">
        <v>6839</v>
      </c>
      <c r="Y83" s="7">
        <v>8700</v>
      </c>
      <c r="Z83" s="7">
        <v>1031</v>
      </c>
      <c r="AA83" s="7">
        <v>2512</v>
      </c>
      <c r="AB83" s="7">
        <v>2785</v>
      </c>
      <c r="AC83" s="7">
        <v>9167</v>
      </c>
      <c r="AD83" s="7">
        <v>8557</v>
      </c>
      <c r="AE83" s="7">
        <v>8246</v>
      </c>
      <c r="AF83" s="7">
        <v>7515</v>
      </c>
      <c r="AG83" s="7">
        <v>5003</v>
      </c>
      <c r="AH83" s="7">
        <v>3554</v>
      </c>
      <c r="AI83" s="7">
        <v>3836</v>
      </c>
      <c r="AJ83" s="7">
        <v>6425</v>
      </c>
      <c r="AK83" s="7">
        <v>2391</v>
      </c>
      <c r="AL83" s="7">
        <v>9707</v>
      </c>
      <c r="AM83" s="7">
        <v>5978</v>
      </c>
      <c r="AN83" s="7">
        <v>873</v>
      </c>
      <c r="AO83" s="7">
        <v>5938</v>
      </c>
      <c r="AQ83" s="7"/>
      <c r="AR83" s="7"/>
    </row>
    <row r="84" spans="1:44" x14ac:dyDescent="0.25">
      <c r="A84" s="6" t="s">
        <v>53</v>
      </c>
      <c r="B84" s="6" t="s">
        <v>190</v>
      </c>
      <c r="C84" s="6" t="s">
        <v>32</v>
      </c>
      <c r="D84" s="6" t="s">
        <v>256</v>
      </c>
      <c r="E84" s="6" t="s">
        <v>33</v>
      </c>
      <c r="F84" s="7">
        <v>5502</v>
      </c>
      <c r="G84" s="7">
        <v>780</v>
      </c>
      <c r="H84" s="7">
        <v>9421</v>
      </c>
      <c r="I84" s="7">
        <v>2045</v>
      </c>
      <c r="J84" s="7">
        <v>8626</v>
      </c>
      <c r="K84" s="7">
        <v>8703</v>
      </c>
      <c r="L84" s="7">
        <v>8831</v>
      </c>
      <c r="M84" s="7">
        <v>2222</v>
      </c>
      <c r="N84" s="7">
        <v>7263</v>
      </c>
      <c r="O84" s="7">
        <v>8487</v>
      </c>
      <c r="P84" s="7">
        <v>3807</v>
      </c>
      <c r="Q84" s="7">
        <v>5182</v>
      </c>
      <c r="R84" s="7">
        <v>1575</v>
      </c>
      <c r="S84" s="7">
        <v>4590</v>
      </c>
      <c r="T84" s="7">
        <v>8558</v>
      </c>
      <c r="U84" s="7">
        <v>5038</v>
      </c>
      <c r="V84" s="7">
        <v>9686</v>
      </c>
      <c r="W84" s="7">
        <v>1822</v>
      </c>
      <c r="X84" s="7">
        <v>7490</v>
      </c>
      <c r="Y84" s="7">
        <v>7338</v>
      </c>
      <c r="Z84" s="7">
        <v>3060</v>
      </c>
      <c r="AA84" s="7">
        <v>4110</v>
      </c>
      <c r="AB84" s="7">
        <v>9298</v>
      </c>
      <c r="AC84" s="7">
        <v>6464</v>
      </c>
      <c r="AD84" s="7">
        <v>5452</v>
      </c>
      <c r="AE84" s="7">
        <v>2168</v>
      </c>
      <c r="AF84" s="7">
        <v>8248</v>
      </c>
      <c r="AG84" s="7">
        <v>702</v>
      </c>
      <c r="AH84" s="7">
        <v>2861</v>
      </c>
      <c r="AI84" s="7">
        <v>7818</v>
      </c>
      <c r="AJ84" s="7">
        <v>6405</v>
      </c>
      <c r="AK84" s="7">
        <v>9024</v>
      </c>
      <c r="AL84" s="7">
        <v>5336</v>
      </c>
      <c r="AM84" s="7">
        <v>5997</v>
      </c>
      <c r="AN84" s="7">
        <v>2305</v>
      </c>
      <c r="AO84" s="7">
        <v>2906</v>
      </c>
      <c r="AQ84" s="7"/>
      <c r="AR84" s="7"/>
    </row>
    <row r="85" spans="1:44" x14ac:dyDescent="0.25">
      <c r="A85" s="6" t="s">
        <v>53</v>
      </c>
      <c r="B85" s="6" t="s">
        <v>190</v>
      </c>
      <c r="C85" s="6" t="s">
        <v>51</v>
      </c>
      <c r="D85" s="6" t="s">
        <v>232</v>
      </c>
      <c r="E85" s="6" t="s">
        <v>29</v>
      </c>
      <c r="F85" s="7">
        <v>5886</v>
      </c>
      <c r="G85" s="7">
        <v>9350</v>
      </c>
      <c r="H85" s="7">
        <v>1457</v>
      </c>
      <c r="I85" s="7">
        <v>1178</v>
      </c>
      <c r="J85" s="7">
        <v>5669</v>
      </c>
      <c r="K85" s="7">
        <v>597</v>
      </c>
      <c r="L85" s="7">
        <v>1823</v>
      </c>
      <c r="M85" s="7">
        <v>6653</v>
      </c>
      <c r="N85" s="7">
        <v>4937</v>
      </c>
      <c r="O85" s="7">
        <v>6540</v>
      </c>
      <c r="P85" s="7">
        <v>4141</v>
      </c>
      <c r="Q85" s="7">
        <v>9611</v>
      </c>
      <c r="R85" s="7">
        <v>4529</v>
      </c>
      <c r="S85" s="7">
        <v>3378</v>
      </c>
      <c r="T85" s="7">
        <v>9617</v>
      </c>
      <c r="U85" s="7">
        <v>3375</v>
      </c>
      <c r="V85" s="7">
        <v>3954</v>
      </c>
      <c r="W85" s="7">
        <v>8388</v>
      </c>
      <c r="X85" s="7">
        <v>7457</v>
      </c>
      <c r="Y85" s="7">
        <v>3492</v>
      </c>
      <c r="Z85" s="7">
        <v>3375</v>
      </c>
      <c r="AA85" s="7">
        <v>1319</v>
      </c>
      <c r="AB85" s="7">
        <v>8239</v>
      </c>
      <c r="AC85" s="7">
        <v>8016</v>
      </c>
      <c r="AD85" s="7">
        <v>3468</v>
      </c>
      <c r="AE85" s="7">
        <v>8873</v>
      </c>
      <c r="AF85" s="7">
        <v>4619</v>
      </c>
      <c r="AG85" s="7">
        <v>6492</v>
      </c>
      <c r="AH85" s="7">
        <v>9742</v>
      </c>
      <c r="AI85" s="7">
        <v>6510</v>
      </c>
      <c r="AJ85" s="7">
        <v>3738</v>
      </c>
      <c r="AK85" s="7">
        <v>1176</v>
      </c>
      <c r="AL85" s="7">
        <v>8259</v>
      </c>
      <c r="AM85" s="7">
        <v>750</v>
      </c>
      <c r="AN85" s="7">
        <v>9716</v>
      </c>
      <c r="AO85" s="7">
        <v>1752</v>
      </c>
      <c r="AQ85" s="7"/>
      <c r="AR85" s="7"/>
    </row>
    <row r="86" spans="1:44" x14ac:dyDescent="0.25">
      <c r="A86" s="6" t="s">
        <v>53</v>
      </c>
      <c r="B86" s="6" t="s">
        <v>190</v>
      </c>
      <c r="C86" s="6" t="s">
        <v>62</v>
      </c>
      <c r="D86" s="6" t="s">
        <v>260</v>
      </c>
      <c r="E86" s="6" t="s">
        <v>46</v>
      </c>
      <c r="F86" s="7">
        <v>9657</v>
      </c>
      <c r="G86" s="7">
        <v>9990</v>
      </c>
      <c r="H86" s="7">
        <v>647</v>
      </c>
      <c r="I86" s="7">
        <v>1761</v>
      </c>
      <c r="J86" s="7">
        <v>9521</v>
      </c>
      <c r="K86" s="7">
        <v>8011</v>
      </c>
      <c r="L86" s="7">
        <v>6779</v>
      </c>
      <c r="M86" s="7">
        <v>5705</v>
      </c>
      <c r="N86" s="7">
        <v>1271</v>
      </c>
      <c r="O86" s="7">
        <v>7576</v>
      </c>
      <c r="P86" s="7">
        <v>3636</v>
      </c>
      <c r="Q86" s="7">
        <v>7404</v>
      </c>
      <c r="R86" s="7">
        <v>9535</v>
      </c>
      <c r="S86" s="7">
        <v>2203</v>
      </c>
      <c r="T86" s="7">
        <v>1812</v>
      </c>
      <c r="U86" s="7">
        <v>2345</v>
      </c>
      <c r="V86" s="7">
        <v>9354</v>
      </c>
      <c r="W86" s="7">
        <v>9445</v>
      </c>
      <c r="X86" s="7">
        <v>6961</v>
      </c>
      <c r="Y86" s="7">
        <v>8536</v>
      </c>
      <c r="Z86" s="7">
        <v>437</v>
      </c>
      <c r="AA86" s="7">
        <v>2631</v>
      </c>
      <c r="AB86" s="7">
        <v>2981</v>
      </c>
      <c r="AC86" s="7">
        <v>4528</v>
      </c>
      <c r="AD86" s="7">
        <v>4404</v>
      </c>
      <c r="AE86" s="7">
        <v>1496</v>
      </c>
      <c r="AF86" s="7">
        <v>5689</v>
      </c>
      <c r="AG86" s="7">
        <v>1281</v>
      </c>
      <c r="AH86" s="7">
        <v>4299</v>
      </c>
      <c r="AI86" s="7">
        <v>1543</v>
      </c>
      <c r="AJ86" s="7">
        <v>6765</v>
      </c>
      <c r="AK86" s="7">
        <v>8219</v>
      </c>
      <c r="AL86" s="7">
        <v>2520</v>
      </c>
      <c r="AM86" s="7">
        <v>5910</v>
      </c>
      <c r="AN86" s="7">
        <v>6465</v>
      </c>
      <c r="AO86" s="7">
        <v>158</v>
      </c>
      <c r="AQ86" s="7"/>
      <c r="AR86" s="7"/>
    </row>
    <row r="87" spans="1:44" x14ac:dyDescent="0.25">
      <c r="A87" s="6" t="s">
        <v>152</v>
      </c>
      <c r="B87" s="6" t="s">
        <v>191</v>
      </c>
      <c r="C87" s="6" t="s">
        <v>127</v>
      </c>
      <c r="D87" s="6" t="s">
        <v>250</v>
      </c>
      <c r="E87" s="6" t="s">
        <v>46</v>
      </c>
      <c r="F87" s="7">
        <v>9255</v>
      </c>
      <c r="G87" s="7">
        <v>3038</v>
      </c>
      <c r="H87" s="7">
        <v>6244</v>
      </c>
      <c r="I87" s="7">
        <v>7026</v>
      </c>
      <c r="J87" s="7">
        <v>9193</v>
      </c>
      <c r="K87" s="7">
        <v>5947</v>
      </c>
      <c r="L87" s="7">
        <v>9431</v>
      </c>
      <c r="M87" s="7">
        <v>2801</v>
      </c>
      <c r="N87" s="7">
        <v>1613</v>
      </c>
      <c r="O87" s="7">
        <v>6449</v>
      </c>
      <c r="P87" s="7">
        <v>5761</v>
      </c>
      <c r="Q87" s="7">
        <v>5977</v>
      </c>
      <c r="R87" s="7">
        <v>9238</v>
      </c>
      <c r="S87" s="7">
        <v>6605</v>
      </c>
      <c r="T87" s="7">
        <v>6995</v>
      </c>
      <c r="U87" s="7">
        <v>716</v>
      </c>
      <c r="V87" s="7">
        <v>7560</v>
      </c>
      <c r="W87" s="7">
        <v>9409</v>
      </c>
      <c r="X87" s="7">
        <v>1397</v>
      </c>
      <c r="Y87" s="7">
        <v>3422</v>
      </c>
      <c r="Z87" s="7">
        <v>8862</v>
      </c>
      <c r="AA87" s="7">
        <v>3355</v>
      </c>
      <c r="AB87" s="7">
        <v>7414</v>
      </c>
      <c r="AC87" s="7">
        <v>503</v>
      </c>
      <c r="AD87" s="7">
        <v>896</v>
      </c>
      <c r="AE87" s="7">
        <v>4573</v>
      </c>
      <c r="AF87" s="7">
        <v>8437</v>
      </c>
      <c r="AG87" s="7">
        <v>9116</v>
      </c>
      <c r="AH87" s="7">
        <v>3785</v>
      </c>
      <c r="AI87" s="7">
        <v>8679</v>
      </c>
      <c r="AJ87" s="7">
        <v>7582</v>
      </c>
      <c r="AK87" s="7">
        <v>8528</v>
      </c>
      <c r="AL87" s="7">
        <v>4441</v>
      </c>
      <c r="AM87" s="7">
        <v>9857</v>
      </c>
      <c r="AN87" s="7">
        <v>8846</v>
      </c>
      <c r="AO87" s="7">
        <v>1791</v>
      </c>
      <c r="AQ87" s="7"/>
      <c r="AR87" s="7"/>
    </row>
    <row r="88" spans="1:44" x14ac:dyDescent="0.25">
      <c r="A88" s="6" t="s">
        <v>47</v>
      </c>
      <c r="B88" s="6" t="s">
        <v>192</v>
      </c>
      <c r="C88" s="6" t="s">
        <v>48</v>
      </c>
      <c r="D88" s="6" t="s">
        <v>268</v>
      </c>
      <c r="E88" s="6" t="s">
        <v>49</v>
      </c>
      <c r="F88" s="7">
        <f>5932.5*(1.5/2.5)</f>
        <v>3559.5</v>
      </c>
      <c r="G88" s="7">
        <f>20095*(1.5/2.5)</f>
        <v>12057</v>
      </c>
      <c r="H88" s="7">
        <f>11437.5*(1.5/2.5)</f>
        <v>6862.5</v>
      </c>
      <c r="I88" s="7">
        <f>4450*(1.5/2.5)</f>
        <v>2670</v>
      </c>
      <c r="J88" s="7">
        <f>17142.5*(1.5/2.5)</f>
        <v>10285.5</v>
      </c>
      <c r="K88" s="7">
        <f>13115*(1.5/2.5)</f>
        <v>7869</v>
      </c>
      <c r="L88" s="7">
        <f>2082.5*(1.5/2.5)</f>
        <v>1249.5</v>
      </c>
      <c r="M88" s="7">
        <f>4942.5*(1.5/2.5)</f>
        <v>2965.5</v>
      </c>
      <c r="N88" s="7">
        <f>20572.5*(1.5/2.5)</f>
        <v>12343.5</v>
      </c>
      <c r="O88" s="7">
        <f>2780*(1.5/2.5)</f>
        <v>1668</v>
      </c>
      <c r="P88" s="7">
        <f>8995*(1.5/2.5)</f>
        <v>5397</v>
      </c>
      <c r="Q88" s="7">
        <f>15245*(1.5/2.5)</f>
        <v>9147</v>
      </c>
      <c r="R88" s="7">
        <f>14287.5*(1.5/2.5)</f>
        <v>8572.5</v>
      </c>
      <c r="S88" s="7">
        <f>6337.5*(1.5/2.5)</f>
        <v>3802.5</v>
      </c>
      <c r="T88" s="7">
        <f>325*(1.5/2.5)</f>
        <v>195</v>
      </c>
      <c r="U88" s="7">
        <f>14657.5*(1.5/2.5)</f>
        <v>8794.5</v>
      </c>
      <c r="V88" s="7">
        <f>22550*(1.5/2.5)</f>
        <v>13530</v>
      </c>
      <c r="W88" s="7">
        <f>17947.5*(1.5/2.5)</f>
        <v>10768.5</v>
      </c>
      <c r="X88" s="7">
        <f>17690*(1.5/2.5)</f>
        <v>10614</v>
      </c>
      <c r="Y88" s="7">
        <f>20055*(1.5/2.5)</f>
        <v>12033</v>
      </c>
      <c r="Z88" s="7">
        <f>9930*(1.5/2.5)</f>
        <v>5958</v>
      </c>
      <c r="AA88" s="7">
        <f>8620*(1.5/2.5)</f>
        <v>5172</v>
      </c>
      <c r="AB88" s="7">
        <f>17367.5*(1.5/2.5)</f>
        <v>10420.5</v>
      </c>
      <c r="AC88" s="7">
        <f>22767.5*(1.5/2.5)</f>
        <v>13660.5</v>
      </c>
      <c r="AD88" s="7">
        <f>18502.5*(1.5/2.5)</f>
        <v>11101.5</v>
      </c>
      <c r="AE88" s="7">
        <f>15310*(1.5/2.5)</f>
        <v>9186</v>
      </c>
      <c r="AF88" s="7">
        <f>24015*(1.5/2.5)</f>
        <v>14409</v>
      </c>
      <c r="AG88" s="7">
        <f>2345*(1.5/2.5)</f>
        <v>1407</v>
      </c>
      <c r="AH88" s="7">
        <f>20922.5*(1.5/2.5)</f>
        <v>12553.5</v>
      </c>
      <c r="AI88" s="7">
        <f>24500*(1.5/2.5)</f>
        <v>14700</v>
      </c>
      <c r="AJ88" s="7">
        <f>10100*(1.5/2.5)</f>
        <v>6060</v>
      </c>
      <c r="AK88" s="7">
        <f>10675*(1.5/2.5)</f>
        <v>6405</v>
      </c>
      <c r="AL88" s="7">
        <f>1857.5*(1.5/2.5)</f>
        <v>1114.5</v>
      </c>
      <c r="AM88" s="7">
        <f>18147.5*(1.5/2.5)</f>
        <v>10888.5</v>
      </c>
      <c r="AN88" s="7">
        <f>15042.5*(1.5/2.5)</f>
        <v>9025.5</v>
      </c>
      <c r="AO88" s="7">
        <f>8640*(1.5/2.5)</f>
        <v>5184</v>
      </c>
      <c r="AQ88" s="7"/>
      <c r="AR88" s="7"/>
    </row>
    <row r="89" spans="1:44" x14ac:dyDescent="0.25">
      <c r="A89" s="6" t="s">
        <v>47</v>
      </c>
      <c r="B89" s="6" t="s">
        <v>192</v>
      </c>
      <c r="C89" s="6" t="s">
        <v>100</v>
      </c>
      <c r="D89" s="6" t="s">
        <v>269</v>
      </c>
      <c r="E89" s="6" t="s">
        <v>33</v>
      </c>
      <c r="F89" s="7">
        <v>7881</v>
      </c>
      <c r="G89" s="7">
        <v>9350</v>
      </c>
      <c r="H89" s="7">
        <v>6204</v>
      </c>
      <c r="I89" s="7">
        <v>5800</v>
      </c>
      <c r="J89" s="7">
        <v>5755</v>
      </c>
      <c r="K89" s="7">
        <v>9717</v>
      </c>
      <c r="L89" s="7">
        <v>2654</v>
      </c>
      <c r="M89" s="7">
        <v>8251</v>
      </c>
      <c r="N89" s="7">
        <v>6044</v>
      </c>
      <c r="O89" s="7">
        <v>3007</v>
      </c>
      <c r="P89" s="7">
        <v>5924</v>
      </c>
      <c r="Q89" s="7">
        <v>5748</v>
      </c>
      <c r="R89" s="7">
        <v>1169</v>
      </c>
      <c r="S89" s="7">
        <v>9488</v>
      </c>
      <c r="T89" s="7">
        <v>2402</v>
      </c>
      <c r="U89" s="7">
        <v>6930</v>
      </c>
      <c r="V89" s="7">
        <v>9240</v>
      </c>
      <c r="W89" s="7">
        <v>493</v>
      </c>
      <c r="X89" s="7">
        <v>5306</v>
      </c>
      <c r="Y89" s="7">
        <v>8789</v>
      </c>
      <c r="Z89" s="7">
        <v>7823</v>
      </c>
      <c r="AA89" s="7">
        <v>5427</v>
      </c>
      <c r="AB89" s="7">
        <v>1496</v>
      </c>
      <c r="AC89" s="7">
        <v>3220</v>
      </c>
      <c r="AD89" s="7">
        <v>919</v>
      </c>
      <c r="AE89" s="7">
        <v>2970</v>
      </c>
      <c r="AF89" s="7">
        <v>6127</v>
      </c>
      <c r="AG89" s="7">
        <v>1788</v>
      </c>
      <c r="AH89" s="7">
        <v>7496</v>
      </c>
      <c r="AI89" s="7">
        <v>2328</v>
      </c>
      <c r="AJ89" s="7">
        <v>7352</v>
      </c>
      <c r="AK89" s="7">
        <v>2160</v>
      </c>
      <c r="AL89" s="7">
        <v>3028</v>
      </c>
      <c r="AM89" s="7">
        <v>5359</v>
      </c>
      <c r="AN89" s="7">
        <v>5588</v>
      </c>
      <c r="AO89" s="7">
        <v>1975</v>
      </c>
      <c r="AQ89" s="7"/>
      <c r="AR89" s="7"/>
    </row>
    <row r="90" spans="1:44" x14ac:dyDescent="0.25">
      <c r="A90" s="6" t="s">
        <v>119</v>
      </c>
      <c r="B90" s="6" t="s">
        <v>193</v>
      </c>
      <c r="C90" s="6" t="s">
        <v>120</v>
      </c>
      <c r="D90" s="6" t="s">
        <v>270</v>
      </c>
      <c r="E90" s="6" t="s">
        <v>26</v>
      </c>
      <c r="F90" s="7">
        <v>9305</v>
      </c>
      <c r="G90" s="7">
        <v>7205</v>
      </c>
      <c r="H90" s="7">
        <v>3049</v>
      </c>
      <c r="I90" s="7">
        <v>6973</v>
      </c>
      <c r="J90" s="7">
        <v>7356</v>
      </c>
      <c r="K90" s="7">
        <v>8538</v>
      </c>
      <c r="L90" s="7">
        <v>2585</v>
      </c>
      <c r="M90" s="7">
        <v>6174</v>
      </c>
      <c r="N90" s="7">
        <v>2665</v>
      </c>
      <c r="O90" s="7">
        <v>1577</v>
      </c>
      <c r="P90" s="7">
        <v>2978</v>
      </c>
      <c r="Q90" s="7">
        <v>8011</v>
      </c>
      <c r="R90" s="7">
        <v>5352</v>
      </c>
      <c r="S90" s="7">
        <v>1477</v>
      </c>
      <c r="T90" s="7">
        <v>9164</v>
      </c>
      <c r="U90" s="7">
        <v>6720</v>
      </c>
      <c r="V90" s="7">
        <v>1192</v>
      </c>
      <c r="W90" s="7">
        <v>5419</v>
      </c>
      <c r="X90" s="7">
        <v>7625</v>
      </c>
      <c r="Y90" s="7">
        <v>2680</v>
      </c>
      <c r="Z90" s="7">
        <v>1387</v>
      </c>
      <c r="AA90" s="7">
        <v>935</v>
      </c>
      <c r="AB90" s="7">
        <v>3401</v>
      </c>
      <c r="AC90" s="7">
        <v>5115</v>
      </c>
      <c r="AD90" s="7">
        <v>9850</v>
      </c>
      <c r="AE90" s="7">
        <v>2489</v>
      </c>
      <c r="AF90" s="7">
        <v>1958</v>
      </c>
      <c r="AG90" s="7">
        <v>5827</v>
      </c>
      <c r="AH90" s="7">
        <v>4913</v>
      </c>
      <c r="AI90" s="7">
        <v>6949</v>
      </c>
      <c r="AJ90" s="7">
        <v>8504</v>
      </c>
      <c r="AK90" s="7">
        <v>8036</v>
      </c>
      <c r="AL90" s="7">
        <v>9156</v>
      </c>
      <c r="AM90" s="7">
        <v>3955</v>
      </c>
      <c r="AN90" s="7">
        <v>1867</v>
      </c>
      <c r="AO90" s="7">
        <v>1895</v>
      </c>
      <c r="AQ90" s="7"/>
      <c r="AR90" s="7"/>
    </row>
    <row r="91" spans="1:44" x14ac:dyDescent="0.25">
      <c r="A91" s="6" t="s">
        <v>119</v>
      </c>
      <c r="B91" s="6" t="s">
        <v>193</v>
      </c>
      <c r="C91" s="6" t="s">
        <v>79</v>
      </c>
      <c r="D91" s="6" t="s">
        <v>247</v>
      </c>
      <c r="E91" s="6" t="s">
        <v>29</v>
      </c>
      <c r="F91" s="7">
        <v>3948</v>
      </c>
      <c r="G91" s="7">
        <v>531</v>
      </c>
      <c r="H91" s="7">
        <v>1069</v>
      </c>
      <c r="I91" s="7">
        <v>6887</v>
      </c>
      <c r="J91" s="7">
        <v>7957</v>
      </c>
      <c r="K91" s="7">
        <v>6878</v>
      </c>
      <c r="L91" s="7">
        <v>2410</v>
      </c>
      <c r="M91" s="7">
        <v>3888</v>
      </c>
      <c r="N91" s="7">
        <v>9429</v>
      </c>
      <c r="O91" s="7">
        <v>4626</v>
      </c>
      <c r="P91" s="7">
        <v>1029</v>
      </c>
      <c r="Q91" s="7">
        <v>3542</v>
      </c>
      <c r="R91" s="7">
        <v>625</v>
      </c>
      <c r="S91" s="7">
        <v>3839</v>
      </c>
      <c r="T91" s="7">
        <v>332</v>
      </c>
      <c r="U91" s="7">
        <v>7771</v>
      </c>
      <c r="V91" s="7">
        <v>5421</v>
      </c>
      <c r="W91" s="7">
        <v>7598</v>
      </c>
      <c r="X91" s="7">
        <v>2380</v>
      </c>
      <c r="Y91" s="7">
        <v>3764</v>
      </c>
      <c r="Z91" s="7">
        <v>3081</v>
      </c>
      <c r="AA91" s="7">
        <v>3729</v>
      </c>
      <c r="AB91" s="7">
        <v>6071</v>
      </c>
      <c r="AC91" s="7">
        <v>8580</v>
      </c>
      <c r="AD91" s="7">
        <v>9947</v>
      </c>
      <c r="AE91" s="7">
        <v>1433</v>
      </c>
      <c r="AF91" s="7">
        <v>8820</v>
      </c>
      <c r="AG91" s="7">
        <v>7074</v>
      </c>
      <c r="AH91" s="7">
        <v>6252</v>
      </c>
      <c r="AI91" s="7">
        <v>6065</v>
      </c>
      <c r="AJ91" s="7">
        <v>1508</v>
      </c>
      <c r="AK91" s="7">
        <v>1105</v>
      </c>
      <c r="AL91" s="7">
        <v>7713</v>
      </c>
      <c r="AM91" s="7">
        <v>8634</v>
      </c>
      <c r="AN91" s="7">
        <v>7240</v>
      </c>
      <c r="AO91" s="7">
        <v>4309</v>
      </c>
      <c r="AQ91" s="7"/>
      <c r="AR91" s="7"/>
    </row>
    <row r="92" spans="1:44" x14ac:dyDescent="0.25">
      <c r="A92" s="6" t="s">
        <v>119</v>
      </c>
      <c r="B92" s="6" t="s">
        <v>193</v>
      </c>
      <c r="C92" s="6" t="s">
        <v>82</v>
      </c>
      <c r="D92" s="6" t="s">
        <v>261</v>
      </c>
      <c r="E92" s="6" t="s">
        <v>36</v>
      </c>
      <c r="F92" s="7">
        <v>888</v>
      </c>
      <c r="G92" s="7">
        <v>1019</v>
      </c>
      <c r="H92" s="7">
        <v>3410</v>
      </c>
      <c r="I92" s="7">
        <v>82</v>
      </c>
      <c r="J92" s="7">
        <v>4928</v>
      </c>
      <c r="K92" s="7">
        <v>9323</v>
      </c>
      <c r="L92" s="7">
        <v>771</v>
      </c>
      <c r="M92" s="7">
        <v>8844</v>
      </c>
      <c r="N92" s="7">
        <v>9358</v>
      </c>
      <c r="O92" s="7">
        <v>4207</v>
      </c>
      <c r="P92" s="7">
        <v>6025</v>
      </c>
      <c r="Q92" s="7">
        <v>7663</v>
      </c>
      <c r="R92" s="7">
        <v>6524</v>
      </c>
      <c r="S92" s="7">
        <v>9341</v>
      </c>
      <c r="T92" s="7">
        <v>7665</v>
      </c>
      <c r="U92" s="7">
        <v>8968</v>
      </c>
      <c r="V92" s="7">
        <v>7531</v>
      </c>
      <c r="W92" s="7">
        <v>5149</v>
      </c>
      <c r="X92" s="7">
        <v>1492</v>
      </c>
      <c r="Y92" s="7">
        <v>1622</v>
      </c>
      <c r="Z92" s="7">
        <v>1376</v>
      </c>
      <c r="AA92" s="7">
        <v>8662</v>
      </c>
      <c r="AB92" s="7">
        <v>8836</v>
      </c>
      <c r="AC92" s="7">
        <v>9565</v>
      </c>
      <c r="AD92" s="7">
        <v>7760</v>
      </c>
      <c r="AE92" s="7">
        <v>2512</v>
      </c>
      <c r="AF92" s="7">
        <v>1319</v>
      </c>
      <c r="AG92" s="7">
        <v>505</v>
      </c>
      <c r="AH92" s="7">
        <v>88</v>
      </c>
      <c r="AI92" s="7">
        <v>7365</v>
      </c>
      <c r="AJ92" s="7">
        <v>6941</v>
      </c>
      <c r="AK92" s="7">
        <v>2073</v>
      </c>
      <c r="AL92" s="7">
        <v>389</v>
      </c>
      <c r="AM92" s="7">
        <v>2088</v>
      </c>
      <c r="AN92" s="7">
        <v>807</v>
      </c>
      <c r="AO92" s="7">
        <v>3772</v>
      </c>
      <c r="AQ92" s="7"/>
      <c r="AR92" s="7"/>
    </row>
    <row r="93" spans="1:44" x14ac:dyDescent="0.25">
      <c r="A93" s="6" t="s">
        <v>54</v>
      </c>
      <c r="B93" s="6" t="s">
        <v>194</v>
      </c>
      <c r="C93" s="6" t="s">
        <v>79</v>
      </c>
      <c r="D93" s="6" t="s">
        <v>247</v>
      </c>
      <c r="E93" s="6" t="s">
        <v>29</v>
      </c>
      <c r="F93" s="7">
        <v>1950</v>
      </c>
      <c r="G93" s="7">
        <v>2150</v>
      </c>
      <c r="H93" s="7">
        <v>5787</v>
      </c>
      <c r="I93" s="7">
        <v>2399</v>
      </c>
      <c r="J93" s="7">
        <v>9547</v>
      </c>
      <c r="K93" s="7">
        <v>4138</v>
      </c>
      <c r="L93" s="7">
        <v>956</v>
      </c>
      <c r="M93" s="7">
        <v>7800</v>
      </c>
      <c r="N93" s="7">
        <v>7313</v>
      </c>
      <c r="O93" s="7">
        <v>7784</v>
      </c>
      <c r="P93" s="7">
        <v>2215</v>
      </c>
      <c r="Q93" s="7">
        <v>3054</v>
      </c>
      <c r="R93" s="7">
        <v>8013</v>
      </c>
      <c r="S93" s="7">
        <v>9859</v>
      </c>
      <c r="T93" s="7">
        <v>7986</v>
      </c>
      <c r="U93" s="7">
        <v>1417</v>
      </c>
      <c r="V93" s="7">
        <v>6955</v>
      </c>
      <c r="W93" s="7">
        <v>5457</v>
      </c>
      <c r="X93" s="7">
        <v>6373</v>
      </c>
      <c r="Y93" s="7">
        <v>8852</v>
      </c>
      <c r="Z93" s="7">
        <v>3663</v>
      </c>
      <c r="AA93" s="7">
        <v>2317</v>
      </c>
      <c r="AB93" s="7">
        <v>4112</v>
      </c>
      <c r="AC93" s="7">
        <v>8193</v>
      </c>
      <c r="AD93" s="7">
        <v>4486</v>
      </c>
      <c r="AE93" s="7">
        <v>9604</v>
      </c>
      <c r="AF93" s="7">
        <v>8056</v>
      </c>
      <c r="AG93" s="7">
        <v>1464</v>
      </c>
      <c r="AH93" s="7">
        <v>4396</v>
      </c>
      <c r="AI93" s="7">
        <v>3495</v>
      </c>
      <c r="AJ93" s="7">
        <v>625</v>
      </c>
      <c r="AK93" s="7">
        <v>2641</v>
      </c>
      <c r="AL93" s="7">
        <v>8534</v>
      </c>
      <c r="AM93" s="7">
        <v>6942</v>
      </c>
      <c r="AN93" s="7">
        <v>9802</v>
      </c>
      <c r="AO93" s="7">
        <v>7516</v>
      </c>
      <c r="AQ93" s="7"/>
      <c r="AR93" s="7"/>
    </row>
    <row r="94" spans="1:44" x14ac:dyDescent="0.25">
      <c r="A94" s="6" t="s">
        <v>54</v>
      </c>
      <c r="B94" s="6" t="s">
        <v>194</v>
      </c>
      <c r="C94" s="6" t="s">
        <v>93</v>
      </c>
      <c r="D94" s="6" t="s">
        <v>238</v>
      </c>
      <c r="E94" s="6" t="s">
        <v>70</v>
      </c>
      <c r="F94" s="7">
        <v>5400</v>
      </c>
      <c r="G94" s="7">
        <v>8308</v>
      </c>
      <c r="H94" s="7">
        <v>6755</v>
      </c>
      <c r="I94" s="7">
        <v>701</v>
      </c>
      <c r="J94" s="7">
        <v>950</v>
      </c>
      <c r="K94" s="7">
        <v>1966</v>
      </c>
      <c r="L94" s="7">
        <v>6713</v>
      </c>
      <c r="M94" s="7">
        <v>8712</v>
      </c>
      <c r="N94" s="7">
        <v>1124</v>
      </c>
      <c r="O94" s="7">
        <v>8152</v>
      </c>
      <c r="P94" s="7">
        <v>9768</v>
      </c>
      <c r="Q94" s="7">
        <v>3969</v>
      </c>
      <c r="R94" s="7">
        <v>3629</v>
      </c>
      <c r="S94" s="7">
        <v>1974</v>
      </c>
      <c r="T94" s="7">
        <v>1944</v>
      </c>
      <c r="U94" s="7">
        <v>1444</v>
      </c>
      <c r="V94" s="7">
        <v>6635</v>
      </c>
      <c r="W94" s="7">
        <v>7812</v>
      </c>
      <c r="X94" s="7">
        <v>2216</v>
      </c>
      <c r="Y94" s="7">
        <v>8930</v>
      </c>
      <c r="Z94" s="7">
        <v>4415</v>
      </c>
      <c r="AA94" s="7">
        <v>1153</v>
      </c>
      <c r="AB94" s="7">
        <v>8284</v>
      </c>
      <c r="AC94" s="7">
        <v>6666</v>
      </c>
      <c r="AD94" s="7">
        <v>9049</v>
      </c>
      <c r="AE94" s="7">
        <v>2800</v>
      </c>
      <c r="AF94" s="7">
        <v>9034</v>
      </c>
      <c r="AG94" s="7">
        <v>4713</v>
      </c>
      <c r="AH94" s="7">
        <v>6365</v>
      </c>
      <c r="AI94" s="7">
        <v>8631</v>
      </c>
      <c r="AJ94" s="7">
        <v>5003</v>
      </c>
      <c r="AK94" s="7">
        <v>2126</v>
      </c>
      <c r="AL94" s="7">
        <v>5225</v>
      </c>
      <c r="AM94" s="7">
        <v>7550</v>
      </c>
      <c r="AN94" s="7">
        <v>5675</v>
      </c>
      <c r="AO94" s="7">
        <v>7745</v>
      </c>
      <c r="AQ94" s="7"/>
      <c r="AR94" s="7"/>
    </row>
    <row r="95" spans="1:44" x14ac:dyDescent="0.25">
      <c r="A95" s="6" t="s">
        <v>54</v>
      </c>
      <c r="B95" s="6" t="s">
        <v>194</v>
      </c>
      <c r="C95" s="6" t="s">
        <v>55</v>
      </c>
      <c r="D95" s="6" t="s">
        <v>271</v>
      </c>
      <c r="E95" s="6" t="s">
        <v>29</v>
      </c>
      <c r="F95" s="7">
        <v>3854</v>
      </c>
      <c r="G95" s="7">
        <v>9690</v>
      </c>
      <c r="H95" s="7">
        <v>9566</v>
      </c>
      <c r="I95" s="7">
        <v>9377</v>
      </c>
      <c r="J95" s="7">
        <v>3658</v>
      </c>
      <c r="K95" s="7">
        <v>915</v>
      </c>
      <c r="L95" s="7">
        <v>9776</v>
      </c>
      <c r="M95" s="7">
        <v>5871</v>
      </c>
      <c r="N95" s="7">
        <v>2026</v>
      </c>
      <c r="O95" s="7">
        <v>5034</v>
      </c>
      <c r="P95" s="7">
        <v>9827</v>
      </c>
      <c r="Q95" s="7">
        <v>8640</v>
      </c>
      <c r="R95" s="7">
        <v>4777</v>
      </c>
      <c r="S95" s="7">
        <v>2530</v>
      </c>
      <c r="T95" s="7">
        <v>8482</v>
      </c>
      <c r="U95" s="7">
        <v>9595</v>
      </c>
      <c r="V95" s="7">
        <v>769</v>
      </c>
      <c r="W95" s="7">
        <v>2691</v>
      </c>
      <c r="X95" s="7">
        <v>3861</v>
      </c>
      <c r="Y95" s="7">
        <v>2371</v>
      </c>
      <c r="Z95" s="7">
        <v>8246</v>
      </c>
      <c r="AA95" s="7">
        <v>574</v>
      </c>
      <c r="AB95" s="7">
        <v>3528</v>
      </c>
      <c r="AC95" s="7">
        <v>1256</v>
      </c>
      <c r="AD95" s="7">
        <v>1829</v>
      </c>
      <c r="AE95" s="7">
        <v>1878</v>
      </c>
      <c r="AF95" s="7">
        <v>9700</v>
      </c>
      <c r="AG95" s="7">
        <v>2361</v>
      </c>
      <c r="AH95" s="7">
        <v>9079</v>
      </c>
      <c r="AI95" s="7">
        <v>96</v>
      </c>
      <c r="AJ95" s="7">
        <v>745</v>
      </c>
      <c r="AK95" s="7">
        <v>9059</v>
      </c>
      <c r="AL95" s="7">
        <v>8389</v>
      </c>
      <c r="AM95" s="7">
        <v>6993</v>
      </c>
      <c r="AN95" s="7">
        <v>7811</v>
      </c>
      <c r="AO95" s="7">
        <v>1668</v>
      </c>
      <c r="AQ95" s="7"/>
      <c r="AR95" s="7"/>
    </row>
    <row r="96" spans="1:44" x14ac:dyDescent="0.25">
      <c r="A96" s="6" t="s">
        <v>54</v>
      </c>
      <c r="B96" s="6" t="s">
        <v>194</v>
      </c>
      <c r="C96" s="6" t="s">
        <v>48</v>
      </c>
      <c r="D96" s="6" t="s">
        <v>268</v>
      </c>
      <c r="E96" s="6" t="s">
        <v>49</v>
      </c>
      <c r="F96" s="7">
        <v>10</v>
      </c>
      <c r="G96" s="7">
        <f>+F96*1.17</f>
        <v>11.7</v>
      </c>
      <c r="H96" s="7">
        <f>+G96*1.17</f>
        <v>13.688999999999998</v>
      </c>
      <c r="I96" s="7">
        <f>+H96*1.17</f>
        <v>16.016129999999997</v>
      </c>
      <c r="J96" s="7">
        <f>+I96*1.17</f>
        <v>18.738872099999995</v>
      </c>
      <c r="K96" s="7">
        <f>+J96*1.17</f>
        <v>21.924480356999993</v>
      </c>
      <c r="L96" s="7">
        <f>+K96*1.17</f>
        <v>25.651642017689991</v>
      </c>
      <c r="M96" s="7">
        <f>+L96*1.17</f>
        <v>30.012421160697286</v>
      </c>
      <c r="N96" s="7">
        <f>+M96*1.17</f>
        <v>35.11453275801582</v>
      </c>
      <c r="O96" s="7">
        <f>+N96*1.17</f>
        <v>41.084003326878509</v>
      </c>
      <c r="P96" s="7">
        <f>+O96*1.17</f>
        <v>48.068283892447852</v>
      </c>
      <c r="Q96" s="7">
        <f>+P96*1.17</f>
        <v>56.239892154163982</v>
      </c>
      <c r="R96" s="7">
        <f>+Q96*1.17</f>
        <v>65.800673820371856</v>
      </c>
      <c r="S96" s="7">
        <f>+R96*1.17</f>
        <v>76.986788369835068</v>
      </c>
      <c r="T96" s="7">
        <f>+S96*1.17</f>
        <v>90.074542392707031</v>
      </c>
      <c r="U96" s="7">
        <f>+T96*1.17</f>
        <v>105.38721459946721</v>
      </c>
      <c r="V96" s="7">
        <f>+U96*1.17</f>
        <v>123.30304108137663</v>
      </c>
      <c r="W96" s="7">
        <f>+V96*1.17</f>
        <v>144.26455806521065</v>
      </c>
      <c r="X96" s="7">
        <f>+W96*1.17</f>
        <v>168.78953293629644</v>
      </c>
      <c r="Y96" s="7">
        <f>+X96*1.17</f>
        <v>197.48375353546683</v>
      </c>
      <c r="Z96" s="7">
        <f>+Y96*1.17</f>
        <v>231.05599163649617</v>
      </c>
      <c r="AA96" s="7">
        <f>+Z96*1.17</f>
        <v>270.33551021470049</v>
      </c>
      <c r="AB96" s="7">
        <f>+AA96*1.17</f>
        <v>316.29254695119954</v>
      </c>
      <c r="AC96" s="7">
        <f>+AB96*1.17</f>
        <v>370.06227993290344</v>
      </c>
      <c r="AD96" s="7">
        <f>+AC96*1.17</f>
        <v>432.97286752149699</v>
      </c>
      <c r="AE96" s="7">
        <f>+AD96*1.17</f>
        <v>506.57825500015144</v>
      </c>
      <c r="AF96" s="7">
        <f>+AE96*1.17</f>
        <v>592.69655835017716</v>
      </c>
      <c r="AG96" s="7">
        <f>+AF96*1.17</f>
        <v>693.45497326970724</v>
      </c>
      <c r="AH96" s="7">
        <f>+AG96*1.17</f>
        <v>811.34231872555745</v>
      </c>
      <c r="AI96" s="7">
        <f>+AH96*1.17</f>
        <v>949.27051290890211</v>
      </c>
      <c r="AJ96" s="7">
        <f>+AI96*1.17</f>
        <v>1110.6465001034153</v>
      </c>
      <c r="AK96" s="7">
        <f>+AJ96*1.17</f>
        <v>1299.4564051209959</v>
      </c>
      <c r="AL96" s="7">
        <f>+AK96*1.17</f>
        <v>1520.3639939915652</v>
      </c>
      <c r="AM96" s="7">
        <f>+AL96*1.17</f>
        <v>1778.8258729701311</v>
      </c>
      <c r="AN96" s="7">
        <f>+AM96*1.17</f>
        <v>2081.2262713750533</v>
      </c>
      <c r="AO96" s="7">
        <f>+AN96*1.17</f>
        <v>2435.0347375088122</v>
      </c>
      <c r="AQ96" s="7"/>
      <c r="AR96" s="7"/>
    </row>
    <row r="97" spans="1:44" x14ac:dyDescent="0.25">
      <c r="A97" s="6" t="s">
        <v>63</v>
      </c>
      <c r="B97" s="6" t="s">
        <v>195</v>
      </c>
      <c r="C97" s="6" t="s">
        <v>83</v>
      </c>
      <c r="D97" s="6" t="s">
        <v>267</v>
      </c>
      <c r="E97" s="6" t="s">
        <v>33</v>
      </c>
      <c r="F97" s="7">
        <v>836</v>
      </c>
      <c r="G97" s="7">
        <v>1699</v>
      </c>
      <c r="H97" s="7">
        <v>3592</v>
      </c>
      <c r="I97" s="7">
        <v>5829</v>
      </c>
      <c r="J97" s="7">
        <v>1544</v>
      </c>
      <c r="K97" s="7">
        <v>2343</v>
      </c>
      <c r="L97" s="7">
        <v>5778</v>
      </c>
      <c r="M97" s="7">
        <v>6147</v>
      </c>
      <c r="N97" s="7">
        <v>9916</v>
      </c>
      <c r="O97" s="7">
        <v>1667</v>
      </c>
      <c r="P97" s="7">
        <v>5508</v>
      </c>
      <c r="Q97" s="7">
        <v>5807</v>
      </c>
      <c r="R97" s="7">
        <v>8355</v>
      </c>
      <c r="S97" s="7">
        <v>2970</v>
      </c>
      <c r="T97" s="7">
        <v>2525</v>
      </c>
      <c r="U97" s="7">
        <v>1979</v>
      </c>
      <c r="V97" s="7">
        <v>9557</v>
      </c>
      <c r="W97" s="7">
        <v>6076</v>
      </c>
      <c r="X97" s="7">
        <v>8046</v>
      </c>
      <c r="Y97" s="7">
        <v>7290</v>
      </c>
      <c r="Z97" s="7">
        <v>2726</v>
      </c>
      <c r="AA97" s="7">
        <v>7343</v>
      </c>
      <c r="AB97" s="7">
        <v>4521</v>
      </c>
      <c r="AC97" s="7">
        <v>1349</v>
      </c>
      <c r="AD97" s="7">
        <v>4813</v>
      </c>
      <c r="AE97" s="7">
        <v>8049</v>
      </c>
      <c r="AF97" s="7">
        <v>2762</v>
      </c>
      <c r="AG97" s="7">
        <v>264</v>
      </c>
      <c r="AH97" s="7">
        <v>6461</v>
      </c>
      <c r="AI97" s="7">
        <v>7263</v>
      </c>
      <c r="AJ97" s="7">
        <v>6608</v>
      </c>
      <c r="AK97" s="7">
        <v>1457</v>
      </c>
      <c r="AL97" s="7">
        <v>6759</v>
      </c>
      <c r="AM97" s="7">
        <v>3692</v>
      </c>
      <c r="AN97" s="7">
        <v>6952</v>
      </c>
      <c r="AO97" s="7">
        <v>9360</v>
      </c>
      <c r="AQ97" s="7"/>
      <c r="AR97" s="7"/>
    </row>
    <row r="98" spans="1:44" x14ac:dyDescent="0.25">
      <c r="A98" s="6" t="s">
        <v>63</v>
      </c>
      <c r="B98" s="6" t="s">
        <v>195</v>
      </c>
      <c r="C98" s="6" t="s">
        <v>32</v>
      </c>
      <c r="D98" s="6" t="s">
        <v>256</v>
      </c>
      <c r="E98" s="6" t="s">
        <v>33</v>
      </c>
      <c r="F98" s="7">
        <v>5521</v>
      </c>
      <c r="G98" s="7">
        <v>2206</v>
      </c>
      <c r="H98" s="7">
        <v>1511</v>
      </c>
      <c r="I98" s="7">
        <v>8163</v>
      </c>
      <c r="J98" s="7">
        <v>2821</v>
      </c>
      <c r="K98" s="7">
        <v>9397</v>
      </c>
      <c r="L98" s="7">
        <v>3658</v>
      </c>
      <c r="M98" s="7">
        <v>4820</v>
      </c>
      <c r="N98" s="7">
        <v>6280</v>
      </c>
      <c r="O98" s="7">
        <v>3046</v>
      </c>
      <c r="P98" s="7">
        <v>1003</v>
      </c>
      <c r="Q98" s="7">
        <v>7244</v>
      </c>
      <c r="R98" s="7">
        <v>1000</v>
      </c>
      <c r="S98" s="7">
        <v>4634</v>
      </c>
      <c r="T98" s="7">
        <v>5004</v>
      </c>
      <c r="U98" s="7">
        <v>4152</v>
      </c>
      <c r="V98" s="7">
        <v>9585</v>
      </c>
      <c r="W98" s="7">
        <v>223</v>
      </c>
      <c r="X98" s="7">
        <v>5268</v>
      </c>
      <c r="Y98" s="7">
        <v>6475</v>
      </c>
      <c r="Z98" s="7">
        <v>6548</v>
      </c>
      <c r="AA98" s="7">
        <v>2383</v>
      </c>
      <c r="AB98" s="7">
        <v>3799</v>
      </c>
      <c r="AC98" s="7">
        <v>7097</v>
      </c>
      <c r="AD98" s="7">
        <v>9774</v>
      </c>
      <c r="AE98" s="7">
        <v>5474</v>
      </c>
      <c r="AF98" s="7">
        <v>1895</v>
      </c>
      <c r="AG98" s="7">
        <v>335</v>
      </c>
      <c r="AH98" s="7">
        <v>3893</v>
      </c>
      <c r="AI98" s="7">
        <v>6053</v>
      </c>
      <c r="AJ98" s="7">
        <v>9200</v>
      </c>
      <c r="AK98" s="7">
        <v>2650</v>
      </c>
      <c r="AL98" s="7">
        <v>3476</v>
      </c>
      <c r="AM98" s="7">
        <v>2035</v>
      </c>
      <c r="AN98" s="7">
        <v>5700</v>
      </c>
      <c r="AO98" s="7">
        <v>8308</v>
      </c>
      <c r="AQ98" s="7"/>
      <c r="AR98" s="7"/>
    </row>
    <row r="99" spans="1:44" x14ac:dyDescent="0.25">
      <c r="A99" s="6" t="s">
        <v>63</v>
      </c>
      <c r="B99" s="6" t="s">
        <v>195</v>
      </c>
      <c r="C99" s="6" t="s">
        <v>130</v>
      </c>
      <c r="D99" s="6" t="s">
        <v>272</v>
      </c>
      <c r="E99" s="6" t="s">
        <v>43</v>
      </c>
      <c r="F99" s="7">
        <v>9570</v>
      </c>
      <c r="G99" s="7">
        <v>3998</v>
      </c>
      <c r="H99" s="7">
        <v>2437</v>
      </c>
      <c r="I99" s="7">
        <v>8516</v>
      </c>
      <c r="J99" s="7">
        <v>8341</v>
      </c>
      <c r="K99" s="7">
        <v>9013</v>
      </c>
      <c r="L99" s="7">
        <v>5748</v>
      </c>
      <c r="M99" s="7">
        <v>2786</v>
      </c>
      <c r="N99" s="7">
        <v>2815</v>
      </c>
      <c r="O99" s="7">
        <v>5459</v>
      </c>
      <c r="P99" s="7">
        <v>5013</v>
      </c>
      <c r="Q99" s="7">
        <v>4723</v>
      </c>
      <c r="R99" s="7">
        <v>1252</v>
      </c>
      <c r="S99" s="7">
        <v>2265</v>
      </c>
      <c r="T99" s="7">
        <v>7317</v>
      </c>
      <c r="U99" s="7">
        <v>7893</v>
      </c>
      <c r="V99" s="7">
        <v>496</v>
      </c>
      <c r="W99" s="7">
        <v>7034</v>
      </c>
      <c r="X99" s="7">
        <v>86</v>
      </c>
      <c r="Y99" s="7">
        <v>6343</v>
      </c>
      <c r="Z99" s="7">
        <v>6541</v>
      </c>
      <c r="AA99" s="7">
        <v>3554</v>
      </c>
      <c r="AB99" s="7">
        <v>1487</v>
      </c>
      <c r="AC99" s="7">
        <v>6573</v>
      </c>
      <c r="AD99" s="7">
        <v>1050</v>
      </c>
      <c r="AE99" s="7">
        <v>155</v>
      </c>
      <c r="AF99" s="7">
        <v>334</v>
      </c>
      <c r="AG99" s="7">
        <v>4244</v>
      </c>
      <c r="AH99" s="7">
        <v>880</v>
      </c>
      <c r="AI99" s="7">
        <v>5723</v>
      </c>
      <c r="AJ99" s="7">
        <v>7738</v>
      </c>
      <c r="AK99" s="7">
        <v>9019</v>
      </c>
      <c r="AL99" s="7">
        <v>8512</v>
      </c>
      <c r="AM99" s="7">
        <v>3907</v>
      </c>
      <c r="AN99" s="7">
        <v>5104</v>
      </c>
      <c r="AO99" s="7">
        <v>1703</v>
      </c>
      <c r="AQ99" s="7"/>
      <c r="AR99" s="7"/>
    </row>
    <row r="100" spans="1:44" x14ac:dyDescent="0.25">
      <c r="A100" s="6" t="s">
        <v>63</v>
      </c>
      <c r="B100" s="6" t="s">
        <v>195</v>
      </c>
      <c r="C100" s="6" t="s">
        <v>90</v>
      </c>
      <c r="D100" s="6" t="s">
        <v>236</v>
      </c>
      <c r="E100" s="6" t="s">
        <v>75</v>
      </c>
      <c r="F100" s="7">
        <v>3872</v>
      </c>
      <c r="G100" s="7">
        <v>9616</v>
      </c>
      <c r="H100" s="7">
        <v>2635</v>
      </c>
      <c r="I100" s="7">
        <v>349</v>
      </c>
      <c r="J100" s="7">
        <v>4956</v>
      </c>
      <c r="K100" s="7">
        <v>3800</v>
      </c>
      <c r="L100" s="7">
        <v>7595</v>
      </c>
      <c r="M100" s="7">
        <v>2862</v>
      </c>
      <c r="N100" s="7">
        <v>6345</v>
      </c>
      <c r="O100" s="7">
        <v>5925</v>
      </c>
      <c r="P100" s="7">
        <v>6826</v>
      </c>
      <c r="Q100" s="7">
        <v>5150</v>
      </c>
      <c r="R100" s="7">
        <v>6712</v>
      </c>
      <c r="S100" s="7">
        <v>5582</v>
      </c>
      <c r="T100" s="7">
        <v>3143</v>
      </c>
      <c r="U100" s="7">
        <v>2929</v>
      </c>
      <c r="V100" s="7">
        <v>4774</v>
      </c>
      <c r="W100" s="7">
        <v>1997</v>
      </c>
      <c r="X100" s="7">
        <v>5423</v>
      </c>
      <c r="Y100" s="7">
        <v>779</v>
      </c>
      <c r="Z100" s="7">
        <v>7829</v>
      </c>
      <c r="AA100" s="7">
        <v>709</v>
      </c>
      <c r="AB100" s="7">
        <v>1358</v>
      </c>
      <c r="AC100" s="7">
        <v>1873</v>
      </c>
      <c r="AD100" s="7">
        <v>5462</v>
      </c>
      <c r="AE100" s="7">
        <v>8067</v>
      </c>
      <c r="AF100" s="7">
        <v>2823</v>
      </c>
      <c r="AG100" s="7">
        <v>9075</v>
      </c>
      <c r="AH100" s="7">
        <v>4215</v>
      </c>
      <c r="AI100" s="7">
        <v>5193</v>
      </c>
      <c r="AJ100" s="7">
        <v>1234</v>
      </c>
      <c r="AK100" s="7">
        <v>6375</v>
      </c>
      <c r="AL100" s="7">
        <v>54</v>
      </c>
      <c r="AM100" s="7">
        <v>4334</v>
      </c>
      <c r="AN100" s="7">
        <v>5411</v>
      </c>
      <c r="AO100" s="7">
        <v>9600</v>
      </c>
      <c r="AQ100" s="7"/>
      <c r="AR100" s="7"/>
    </row>
    <row r="101" spans="1:44" x14ac:dyDescent="0.25">
      <c r="A101" s="6" t="s">
        <v>63</v>
      </c>
      <c r="B101" s="6" t="s">
        <v>195</v>
      </c>
      <c r="C101" s="6" t="s">
        <v>64</v>
      </c>
      <c r="D101" s="6" t="s">
        <v>251</v>
      </c>
      <c r="E101" s="6" t="s">
        <v>46</v>
      </c>
      <c r="F101" s="7">
        <v>9181</v>
      </c>
      <c r="G101" s="7">
        <v>1353</v>
      </c>
      <c r="H101" s="7">
        <v>6495</v>
      </c>
      <c r="I101" s="7">
        <v>9358</v>
      </c>
      <c r="J101" s="7">
        <v>243</v>
      </c>
      <c r="K101" s="7">
        <v>5244</v>
      </c>
      <c r="L101" s="7">
        <v>9438</v>
      </c>
      <c r="M101" s="7">
        <v>7063</v>
      </c>
      <c r="N101" s="7">
        <v>125</v>
      </c>
      <c r="O101" s="7">
        <v>5596</v>
      </c>
      <c r="P101" s="7">
        <v>7471</v>
      </c>
      <c r="Q101" s="7">
        <v>4661</v>
      </c>
      <c r="R101" s="7">
        <v>4380</v>
      </c>
      <c r="S101" s="7">
        <v>5164</v>
      </c>
      <c r="T101" s="7">
        <v>2613</v>
      </c>
      <c r="U101" s="7">
        <v>8227</v>
      </c>
      <c r="V101" s="7">
        <v>3241</v>
      </c>
      <c r="W101" s="7">
        <v>8082</v>
      </c>
      <c r="X101" s="7">
        <v>2445</v>
      </c>
      <c r="Y101" s="7">
        <v>2959</v>
      </c>
      <c r="Z101" s="7">
        <v>747</v>
      </c>
      <c r="AA101" s="7">
        <v>3902</v>
      </c>
      <c r="AB101" s="7">
        <v>3344</v>
      </c>
      <c r="AC101" s="7">
        <v>5874</v>
      </c>
      <c r="AD101" s="7">
        <v>2284</v>
      </c>
      <c r="AE101" s="7">
        <v>1700</v>
      </c>
      <c r="AF101" s="7">
        <v>6380</v>
      </c>
      <c r="AG101" s="7">
        <v>1966</v>
      </c>
      <c r="AH101" s="7">
        <v>3733</v>
      </c>
      <c r="AI101" s="7">
        <v>6330</v>
      </c>
      <c r="AJ101" s="7">
        <v>1063</v>
      </c>
      <c r="AK101" s="7">
        <v>3360</v>
      </c>
      <c r="AL101" s="7">
        <v>6021</v>
      </c>
      <c r="AM101" s="7">
        <v>8712</v>
      </c>
      <c r="AN101" s="7">
        <v>1938</v>
      </c>
      <c r="AO101" s="7">
        <v>4042</v>
      </c>
      <c r="AQ101" s="7"/>
      <c r="AR101" s="7"/>
    </row>
    <row r="102" spans="1:44" x14ac:dyDescent="0.25">
      <c r="A102" s="6" t="s">
        <v>63</v>
      </c>
      <c r="B102" s="6" t="s">
        <v>195</v>
      </c>
      <c r="C102" s="6" t="s">
        <v>58</v>
      </c>
      <c r="D102" s="6" t="s">
        <v>229</v>
      </c>
      <c r="E102" s="6" t="s">
        <v>59</v>
      </c>
      <c r="F102" s="7">
        <v>1626</v>
      </c>
      <c r="G102" s="7">
        <v>2024</v>
      </c>
      <c r="H102" s="7">
        <v>8906</v>
      </c>
      <c r="I102" s="7">
        <v>812</v>
      </c>
      <c r="J102" s="7">
        <v>6313</v>
      </c>
      <c r="K102" s="7">
        <v>6968</v>
      </c>
      <c r="L102" s="7">
        <v>8030</v>
      </c>
      <c r="M102" s="7">
        <v>5813</v>
      </c>
      <c r="N102" s="7">
        <v>3642</v>
      </c>
      <c r="O102" s="7">
        <v>5784</v>
      </c>
      <c r="P102" s="7">
        <v>1185</v>
      </c>
      <c r="Q102" s="7">
        <v>3576</v>
      </c>
      <c r="R102" s="7">
        <v>4178</v>
      </c>
      <c r="S102" s="7">
        <v>8212</v>
      </c>
      <c r="T102" s="7">
        <v>2545</v>
      </c>
      <c r="U102" s="7">
        <v>5171</v>
      </c>
      <c r="V102" s="7">
        <v>3799</v>
      </c>
      <c r="W102" s="7">
        <v>1220</v>
      </c>
      <c r="X102" s="7">
        <v>4108</v>
      </c>
      <c r="Y102" s="7">
        <v>2021</v>
      </c>
      <c r="Z102" s="7">
        <v>4445</v>
      </c>
      <c r="AA102" s="7">
        <v>6144</v>
      </c>
      <c r="AB102" s="7">
        <v>6628</v>
      </c>
      <c r="AC102" s="7">
        <v>849</v>
      </c>
      <c r="AD102" s="7">
        <v>3271</v>
      </c>
      <c r="AE102" s="7">
        <v>4716</v>
      </c>
      <c r="AF102" s="7">
        <v>1345</v>
      </c>
      <c r="AG102" s="7">
        <v>2858</v>
      </c>
      <c r="AH102" s="7">
        <v>3499</v>
      </c>
      <c r="AI102" s="7">
        <v>2184</v>
      </c>
      <c r="AJ102" s="7">
        <v>9387</v>
      </c>
      <c r="AK102" s="7">
        <v>1597</v>
      </c>
      <c r="AL102" s="7">
        <v>2510</v>
      </c>
      <c r="AM102" s="7">
        <v>574</v>
      </c>
      <c r="AN102" s="7">
        <v>2946</v>
      </c>
      <c r="AO102" s="7">
        <v>8545</v>
      </c>
      <c r="AQ102" s="7"/>
      <c r="AR102" s="7"/>
    </row>
    <row r="103" spans="1:44" x14ac:dyDescent="0.25">
      <c r="A103" s="6" t="s">
        <v>30</v>
      </c>
      <c r="B103" s="6" t="s">
        <v>196</v>
      </c>
      <c r="C103" s="6" t="s">
        <v>100</v>
      </c>
      <c r="D103" s="6" t="s">
        <v>269</v>
      </c>
      <c r="E103" s="6" t="s">
        <v>33</v>
      </c>
      <c r="F103" s="7">
        <v>7844</v>
      </c>
      <c r="G103" s="7">
        <v>9547</v>
      </c>
      <c r="H103" s="7">
        <v>3112</v>
      </c>
      <c r="I103" s="7">
        <v>92</v>
      </c>
      <c r="J103" s="7">
        <v>7300</v>
      </c>
      <c r="K103" s="7">
        <v>4795</v>
      </c>
      <c r="L103" s="7">
        <v>9662</v>
      </c>
      <c r="M103" s="7">
        <v>5747</v>
      </c>
      <c r="N103" s="7">
        <v>6570</v>
      </c>
      <c r="O103" s="7">
        <v>1028</v>
      </c>
      <c r="P103" s="7">
        <v>8908</v>
      </c>
      <c r="Q103" s="7">
        <v>9387</v>
      </c>
      <c r="R103" s="7">
        <v>8296</v>
      </c>
      <c r="S103" s="7">
        <v>8103</v>
      </c>
      <c r="T103" s="7">
        <v>3679</v>
      </c>
      <c r="U103" s="7">
        <v>2340</v>
      </c>
      <c r="V103" s="7">
        <v>1687</v>
      </c>
      <c r="W103" s="7">
        <v>2191</v>
      </c>
      <c r="X103" s="7">
        <v>5121</v>
      </c>
      <c r="Y103" s="7">
        <v>8364</v>
      </c>
      <c r="Z103" s="7">
        <v>8358</v>
      </c>
      <c r="AA103" s="7">
        <v>657</v>
      </c>
      <c r="AB103" s="7">
        <v>758</v>
      </c>
      <c r="AC103" s="7">
        <v>6790</v>
      </c>
      <c r="AD103" s="7">
        <v>2755</v>
      </c>
      <c r="AE103" s="7">
        <v>5860</v>
      </c>
      <c r="AF103" s="7">
        <v>3133</v>
      </c>
      <c r="AG103" s="7">
        <v>9559</v>
      </c>
      <c r="AH103" s="7">
        <v>7213</v>
      </c>
      <c r="AI103" s="7">
        <v>1793</v>
      </c>
      <c r="AJ103" s="7">
        <v>9039</v>
      </c>
      <c r="AK103" s="7">
        <v>1371</v>
      </c>
      <c r="AL103" s="7">
        <v>4167</v>
      </c>
      <c r="AM103" s="7">
        <v>9678</v>
      </c>
      <c r="AN103" s="7">
        <v>3155</v>
      </c>
      <c r="AO103" s="7">
        <v>8451</v>
      </c>
      <c r="AQ103" s="7"/>
      <c r="AR103" s="7"/>
    </row>
    <row r="104" spans="1:44" x14ac:dyDescent="0.25">
      <c r="A104" s="6" t="s">
        <v>30</v>
      </c>
      <c r="B104" s="6" t="s">
        <v>196</v>
      </c>
      <c r="C104" s="6" t="s">
        <v>100</v>
      </c>
      <c r="D104" s="6" t="s">
        <v>269</v>
      </c>
      <c r="E104" s="6" t="s">
        <v>33</v>
      </c>
      <c r="F104" s="7">
        <v>5088</v>
      </c>
      <c r="G104" s="7">
        <v>8007</v>
      </c>
      <c r="H104" s="7">
        <v>3062</v>
      </c>
      <c r="I104" s="7">
        <v>5989</v>
      </c>
      <c r="J104" s="7">
        <v>4362</v>
      </c>
      <c r="K104" s="7">
        <v>9007</v>
      </c>
      <c r="L104" s="7">
        <v>1124</v>
      </c>
      <c r="M104" s="7">
        <v>7880</v>
      </c>
      <c r="N104" s="7">
        <v>9450</v>
      </c>
      <c r="O104" s="7">
        <v>7373</v>
      </c>
      <c r="P104" s="7">
        <v>385</v>
      </c>
      <c r="Q104" s="7">
        <v>4561</v>
      </c>
      <c r="R104" s="7">
        <v>8405</v>
      </c>
      <c r="S104" s="7">
        <v>9923</v>
      </c>
      <c r="T104" s="7">
        <v>1014</v>
      </c>
      <c r="U104" s="7">
        <v>1133</v>
      </c>
      <c r="V104" s="7">
        <v>3497</v>
      </c>
      <c r="W104" s="7">
        <v>3170</v>
      </c>
      <c r="X104" s="7">
        <v>8915</v>
      </c>
      <c r="Y104" s="7">
        <v>7972</v>
      </c>
      <c r="Z104" s="7">
        <v>4644</v>
      </c>
      <c r="AA104" s="7">
        <v>9713</v>
      </c>
      <c r="AB104" s="7">
        <v>5356</v>
      </c>
      <c r="AC104" s="7">
        <v>4568</v>
      </c>
      <c r="AD104" s="7">
        <v>9351</v>
      </c>
      <c r="AE104" s="7">
        <v>9807</v>
      </c>
      <c r="AF104" s="7">
        <v>7592</v>
      </c>
      <c r="AG104" s="7">
        <v>7709</v>
      </c>
      <c r="AH104" s="7">
        <v>1921</v>
      </c>
      <c r="AI104" s="7">
        <v>4878</v>
      </c>
      <c r="AJ104" s="7">
        <v>2009</v>
      </c>
      <c r="AK104" s="7">
        <v>2452</v>
      </c>
      <c r="AL104" s="7">
        <v>508</v>
      </c>
      <c r="AM104" s="7">
        <v>6113</v>
      </c>
      <c r="AN104" s="7">
        <v>6356</v>
      </c>
      <c r="AO104" s="7">
        <v>1843</v>
      </c>
      <c r="AQ104" s="7"/>
      <c r="AR104" s="7"/>
    </row>
    <row r="105" spans="1:44" x14ac:dyDescent="0.25">
      <c r="A105" s="6" t="s">
        <v>30</v>
      </c>
      <c r="B105" s="6" t="s">
        <v>196</v>
      </c>
      <c r="C105" s="6" t="s">
        <v>45</v>
      </c>
      <c r="D105" s="6" t="s">
        <v>248</v>
      </c>
      <c r="E105" s="6" t="s">
        <v>46</v>
      </c>
      <c r="F105" s="7">
        <v>6147</v>
      </c>
      <c r="G105" s="7">
        <v>2768</v>
      </c>
      <c r="H105" s="7">
        <v>9738</v>
      </c>
      <c r="I105" s="7">
        <v>8860</v>
      </c>
      <c r="J105" s="7">
        <v>7242</v>
      </c>
      <c r="K105" s="7">
        <v>8083</v>
      </c>
      <c r="L105" s="7">
        <v>994</v>
      </c>
      <c r="M105" s="7">
        <v>5409</v>
      </c>
      <c r="N105" s="7">
        <v>5589</v>
      </c>
      <c r="O105" s="7">
        <v>9210</v>
      </c>
      <c r="P105" s="7">
        <v>6752</v>
      </c>
      <c r="Q105" s="7">
        <v>5219</v>
      </c>
      <c r="R105" s="7">
        <v>6093</v>
      </c>
      <c r="S105" s="7">
        <v>2660</v>
      </c>
      <c r="T105" s="7">
        <v>1151</v>
      </c>
      <c r="U105" s="7">
        <v>6541</v>
      </c>
      <c r="V105" s="7">
        <v>8177</v>
      </c>
      <c r="W105" s="7">
        <v>2992</v>
      </c>
      <c r="X105" s="7">
        <v>1172</v>
      </c>
      <c r="Y105" s="7">
        <v>5357</v>
      </c>
      <c r="Z105" s="7">
        <v>607</v>
      </c>
      <c r="AA105" s="7">
        <v>9770</v>
      </c>
      <c r="AB105" s="7">
        <v>2213</v>
      </c>
      <c r="AC105" s="7">
        <v>6978</v>
      </c>
      <c r="AD105" s="7">
        <v>3336</v>
      </c>
      <c r="AE105" s="7">
        <v>9917</v>
      </c>
      <c r="AF105" s="7">
        <v>2902</v>
      </c>
      <c r="AG105" s="7">
        <v>6316</v>
      </c>
      <c r="AH105" s="7">
        <v>6373</v>
      </c>
      <c r="AI105" s="7">
        <v>1997</v>
      </c>
      <c r="AJ105" s="7">
        <v>5581</v>
      </c>
      <c r="AK105" s="7">
        <v>9759</v>
      </c>
      <c r="AL105" s="7">
        <v>5325</v>
      </c>
      <c r="AM105" s="7">
        <v>5181</v>
      </c>
      <c r="AN105" s="7">
        <v>631</v>
      </c>
      <c r="AO105" s="7">
        <v>2875</v>
      </c>
      <c r="AQ105" s="7"/>
      <c r="AR105" s="7"/>
    </row>
    <row r="106" spans="1:44" x14ac:dyDescent="0.25">
      <c r="A106" s="6" t="s">
        <v>30</v>
      </c>
      <c r="B106" s="6" t="s">
        <v>196</v>
      </c>
      <c r="C106" s="6" t="s">
        <v>28</v>
      </c>
      <c r="D106" s="6" t="s">
        <v>264</v>
      </c>
      <c r="E106" s="6" t="s">
        <v>29</v>
      </c>
      <c r="F106" s="7">
        <v>4758</v>
      </c>
      <c r="G106" s="7">
        <v>9354</v>
      </c>
      <c r="H106" s="7">
        <v>1216</v>
      </c>
      <c r="I106" s="7">
        <v>9382</v>
      </c>
      <c r="J106" s="7">
        <v>3588</v>
      </c>
      <c r="K106" s="7">
        <v>6766</v>
      </c>
      <c r="L106" s="7">
        <v>4977</v>
      </c>
      <c r="M106" s="7">
        <v>7992</v>
      </c>
      <c r="N106" s="7">
        <v>5365</v>
      </c>
      <c r="O106" s="7">
        <v>6325</v>
      </c>
      <c r="P106" s="7">
        <v>3632</v>
      </c>
      <c r="Q106" s="7">
        <v>2797</v>
      </c>
      <c r="R106" s="7">
        <v>2720</v>
      </c>
      <c r="S106" s="7">
        <v>9422</v>
      </c>
      <c r="T106" s="7">
        <v>5385</v>
      </c>
      <c r="U106" s="7">
        <v>4077</v>
      </c>
      <c r="V106" s="7">
        <v>245</v>
      </c>
      <c r="W106" s="7">
        <v>9196</v>
      </c>
      <c r="X106" s="7">
        <v>9388</v>
      </c>
      <c r="Y106" s="7">
        <v>5157</v>
      </c>
      <c r="Z106" s="7">
        <v>7660</v>
      </c>
      <c r="AA106" s="7">
        <v>9074</v>
      </c>
      <c r="AB106" s="7">
        <v>614</v>
      </c>
      <c r="AC106" s="7">
        <v>595</v>
      </c>
      <c r="AD106" s="7">
        <v>4153</v>
      </c>
      <c r="AE106" s="7">
        <v>2862</v>
      </c>
      <c r="AF106" s="7">
        <v>2604</v>
      </c>
      <c r="AG106" s="7">
        <v>9113</v>
      </c>
      <c r="AH106" s="7">
        <v>2240</v>
      </c>
      <c r="AI106" s="7">
        <v>7273</v>
      </c>
      <c r="AJ106" s="7">
        <v>6278</v>
      </c>
      <c r="AK106" s="7">
        <v>8639</v>
      </c>
      <c r="AL106" s="7">
        <v>683</v>
      </c>
      <c r="AM106" s="7">
        <v>4151</v>
      </c>
      <c r="AN106" s="7">
        <v>1724</v>
      </c>
      <c r="AO106" s="7">
        <v>8352</v>
      </c>
      <c r="AQ106" s="7"/>
      <c r="AR106" s="7"/>
    </row>
    <row r="107" spans="1:44" x14ac:dyDescent="0.25">
      <c r="A107" s="6" t="s">
        <v>84</v>
      </c>
      <c r="B107" s="6" t="s">
        <v>197</v>
      </c>
      <c r="C107" s="6" t="s">
        <v>85</v>
      </c>
      <c r="D107" s="6" t="s">
        <v>235</v>
      </c>
      <c r="E107" s="6" t="s">
        <v>26</v>
      </c>
      <c r="F107" s="7">
        <v>957</v>
      </c>
      <c r="G107" s="7">
        <v>975</v>
      </c>
      <c r="H107" s="7">
        <v>6530</v>
      </c>
      <c r="I107" s="7">
        <v>313</v>
      </c>
      <c r="J107" s="7">
        <v>2357</v>
      </c>
      <c r="K107" s="7">
        <v>1699</v>
      </c>
      <c r="L107" s="7">
        <v>2015</v>
      </c>
      <c r="M107" s="7">
        <v>6503</v>
      </c>
      <c r="N107" s="7">
        <v>5292</v>
      </c>
      <c r="O107" s="7">
        <v>6355</v>
      </c>
      <c r="P107" s="7">
        <v>5483</v>
      </c>
      <c r="Q107" s="7">
        <v>8771</v>
      </c>
      <c r="R107" s="7">
        <v>6783</v>
      </c>
      <c r="S107" s="7">
        <v>1328</v>
      </c>
      <c r="T107" s="7">
        <v>456</v>
      </c>
      <c r="U107" s="7">
        <v>3467</v>
      </c>
      <c r="V107" s="7">
        <v>9348</v>
      </c>
      <c r="W107" s="7">
        <v>4302</v>
      </c>
      <c r="X107" s="7">
        <v>5643</v>
      </c>
      <c r="Y107" s="7">
        <v>7531</v>
      </c>
      <c r="Z107" s="7">
        <v>2973</v>
      </c>
      <c r="AA107" s="7">
        <v>9622</v>
      </c>
      <c r="AB107" s="7">
        <v>28</v>
      </c>
      <c r="AC107" s="7">
        <v>3276</v>
      </c>
      <c r="AD107" s="7">
        <v>5504</v>
      </c>
      <c r="AE107" s="7">
        <v>7626</v>
      </c>
      <c r="AF107" s="7">
        <v>5318</v>
      </c>
      <c r="AG107" s="7">
        <v>5996</v>
      </c>
      <c r="AH107" s="7">
        <v>6335</v>
      </c>
      <c r="AI107" s="7">
        <v>2278</v>
      </c>
      <c r="AJ107" s="7">
        <v>8377</v>
      </c>
      <c r="AK107" s="7">
        <v>3734</v>
      </c>
      <c r="AL107" s="7">
        <v>2359</v>
      </c>
      <c r="AM107" s="7">
        <v>4207</v>
      </c>
      <c r="AN107" s="7">
        <v>3629</v>
      </c>
      <c r="AO107" s="7">
        <v>5843</v>
      </c>
      <c r="AQ107" s="7"/>
      <c r="AR107" s="7"/>
    </row>
    <row r="108" spans="1:44" x14ac:dyDescent="0.25">
      <c r="A108" s="6" t="s">
        <v>67</v>
      </c>
      <c r="B108" s="6" t="s">
        <v>198</v>
      </c>
      <c r="C108" s="6" t="s">
        <v>83</v>
      </c>
      <c r="D108" s="6" t="s">
        <v>267</v>
      </c>
      <c r="E108" s="6" t="s">
        <v>33</v>
      </c>
      <c r="F108" s="7">
        <v>7954</v>
      </c>
      <c r="G108" s="7">
        <v>1483</v>
      </c>
      <c r="H108" s="7">
        <v>5856</v>
      </c>
      <c r="I108" s="7">
        <v>8506</v>
      </c>
      <c r="J108" s="7">
        <v>907</v>
      </c>
      <c r="K108" s="7">
        <v>7736</v>
      </c>
      <c r="L108" s="7">
        <v>4799</v>
      </c>
      <c r="M108" s="7">
        <v>1495</v>
      </c>
      <c r="N108" s="7">
        <v>9354</v>
      </c>
      <c r="O108" s="7">
        <v>5051</v>
      </c>
      <c r="P108" s="7">
        <v>8471</v>
      </c>
      <c r="Q108" s="7">
        <v>9756</v>
      </c>
      <c r="R108" s="7">
        <v>7614</v>
      </c>
      <c r="S108" s="7">
        <v>9157</v>
      </c>
      <c r="T108" s="7">
        <v>287</v>
      </c>
      <c r="U108" s="7">
        <v>9371</v>
      </c>
      <c r="V108" s="7">
        <v>7117</v>
      </c>
      <c r="W108" s="7">
        <v>9309</v>
      </c>
      <c r="X108" s="7">
        <v>3869</v>
      </c>
      <c r="Y108" s="7">
        <v>6156</v>
      </c>
      <c r="Z108" s="7">
        <v>8746</v>
      </c>
      <c r="AA108" s="7">
        <v>1587</v>
      </c>
      <c r="AB108" s="7">
        <v>664</v>
      </c>
      <c r="AC108" s="7">
        <v>5325</v>
      </c>
      <c r="AD108" s="7">
        <v>7040</v>
      </c>
      <c r="AE108" s="7">
        <v>7804</v>
      </c>
      <c r="AF108" s="7">
        <v>1722</v>
      </c>
      <c r="AG108" s="7">
        <v>1580</v>
      </c>
      <c r="AH108" s="7">
        <v>4448</v>
      </c>
      <c r="AI108" s="7">
        <v>9507</v>
      </c>
      <c r="AJ108" s="7">
        <v>6237</v>
      </c>
      <c r="AK108" s="7">
        <v>8849</v>
      </c>
      <c r="AL108" s="7">
        <v>9723</v>
      </c>
      <c r="AM108" s="7">
        <v>6048</v>
      </c>
      <c r="AN108" s="7">
        <v>2660</v>
      </c>
      <c r="AO108" s="7">
        <v>2417</v>
      </c>
      <c r="AQ108" s="7"/>
      <c r="AR108" s="7"/>
    </row>
    <row r="109" spans="1:44" x14ac:dyDescent="0.25">
      <c r="A109" s="6" t="s">
        <v>67</v>
      </c>
      <c r="B109" s="6" t="s">
        <v>198</v>
      </c>
      <c r="C109" s="6" t="s">
        <v>61</v>
      </c>
      <c r="D109" s="6" t="s">
        <v>243</v>
      </c>
      <c r="E109" s="6" t="s">
        <v>59</v>
      </c>
      <c r="F109" s="7">
        <v>3709</v>
      </c>
      <c r="G109" s="7">
        <v>3602</v>
      </c>
      <c r="H109" s="7">
        <v>2771</v>
      </c>
      <c r="I109" s="7">
        <v>1924</v>
      </c>
      <c r="J109" s="7">
        <v>7787</v>
      </c>
      <c r="K109" s="7">
        <v>9181</v>
      </c>
      <c r="L109" s="7">
        <v>7227</v>
      </c>
      <c r="M109" s="7">
        <v>8568</v>
      </c>
      <c r="N109" s="7">
        <v>5376</v>
      </c>
      <c r="O109" s="7">
        <v>2394</v>
      </c>
      <c r="P109" s="7">
        <v>9976</v>
      </c>
      <c r="Q109" s="7">
        <v>7879</v>
      </c>
      <c r="R109" s="7">
        <v>5312</v>
      </c>
      <c r="S109" s="7">
        <v>9449</v>
      </c>
      <c r="T109" s="7">
        <v>9333</v>
      </c>
      <c r="U109" s="7">
        <v>9962</v>
      </c>
      <c r="V109" s="7">
        <v>7096</v>
      </c>
      <c r="W109" s="7">
        <v>1644</v>
      </c>
      <c r="X109" s="7">
        <v>2156</v>
      </c>
      <c r="Y109" s="7">
        <v>13</v>
      </c>
      <c r="Z109" s="7">
        <v>1494</v>
      </c>
      <c r="AA109" s="7">
        <v>6029</v>
      </c>
      <c r="AB109" s="7">
        <v>4008</v>
      </c>
      <c r="AC109" s="7">
        <v>4886</v>
      </c>
      <c r="AD109" s="7">
        <v>5440</v>
      </c>
      <c r="AE109" s="7">
        <v>9869</v>
      </c>
      <c r="AF109" s="7">
        <v>7063</v>
      </c>
      <c r="AG109" s="7">
        <v>2091</v>
      </c>
      <c r="AH109" s="7">
        <v>9544</v>
      </c>
      <c r="AI109" s="7">
        <v>7753</v>
      </c>
      <c r="AJ109" s="7">
        <v>1568</v>
      </c>
      <c r="AK109" s="7">
        <v>3874</v>
      </c>
      <c r="AL109" s="7">
        <v>4721</v>
      </c>
      <c r="AM109" s="7">
        <v>5646</v>
      </c>
      <c r="AN109" s="7">
        <v>2599</v>
      </c>
      <c r="AO109" s="7">
        <v>9772</v>
      </c>
      <c r="AQ109" s="7"/>
      <c r="AR109" s="7"/>
    </row>
    <row r="110" spans="1:44" x14ac:dyDescent="0.25">
      <c r="A110" s="6" t="s">
        <v>67</v>
      </c>
      <c r="B110" s="6" t="s">
        <v>198</v>
      </c>
      <c r="C110" s="6" t="s">
        <v>86</v>
      </c>
      <c r="D110" s="6" t="s">
        <v>246</v>
      </c>
      <c r="E110" s="6" t="s">
        <v>29</v>
      </c>
      <c r="F110" s="7">
        <v>6719</v>
      </c>
      <c r="G110" s="7">
        <v>9243</v>
      </c>
      <c r="H110" s="7">
        <v>1009</v>
      </c>
      <c r="I110" s="7">
        <v>9696</v>
      </c>
      <c r="J110" s="7">
        <v>3833</v>
      </c>
      <c r="K110" s="7">
        <v>855</v>
      </c>
      <c r="L110" s="7">
        <v>9380</v>
      </c>
      <c r="M110" s="7">
        <v>8781</v>
      </c>
      <c r="N110" s="7">
        <v>7129</v>
      </c>
      <c r="O110" s="7">
        <v>4591</v>
      </c>
      <c r="P110" s="7">
        <v>5163</v>
      </c>
      <c r="Q110" s="7">
        <v>5659</v>
      </c>
      <c r="R110" s="7">
        <v>8244</v>
      </c>
      <c r="S110" s="7">
        <v>548</v>
      </c>
      <c r="T110" s="7">
        <v>8994</v>
      </c>
      <c r="U110" s="7">
        <v>4620</v>
      </c>
      <c r="V110" s="7">
        <v>468</v>
      </c>
      <c r="W110" s="7">
        <v>9857</v>
      </c>
      <c r="X110" s="7">
        <v>9543</v>
      </c>
      <c r="Y110" s="7">
        <v>3688</v>
      </c>
      <c r="Z110" s="7">
        <v>2817</v>
      </c>
      <c r="AA110" s="7">
        <v>2508</v>
      </c>
      <c r="AB110" s="7">
        <v>3056</v>
      </c>
      <c r="AC110" s="7">
        <v>3182</v>
      </c>
      <c r="AD110" s="7">
        <v>5753</v>
      </c>
      <c r="AE110" s="7">
        <v>6768</v>
      </c>
      <c r="AF110" s="7">
        <v>4961</v>
      </c>
      <c r="AG110" s="7">
        <v>863</v>
      </c>
      <c r="AH110" s="7">
        <v>9744</v>
      </c>
      <c r="AI110" s="7">
        <v>338</v>
      </c>
      <c r="AJ110" s="7">
        <v>8910</v>
      </c>
      <c r="AK110" s="7">
        <v>4143</v>
      </c>
      <c r="AL110" s="7">
        <v>7293</v>
      </c>
      <c r="AM110" s="7">
        <v>7554</v>
      </c>
      <c r="AN110" s="7">
        <v>3315</v>
      </c>
      <c r="AO110" s="7">
        <v>9002</v>
      </c>
      <c r="AQ110" s="7"/>
      <c r="AR110" s="7"/>
    </row>
    <row r="111" spans="1:44" x14ac:dyDescent="0.25">
      <c r="A111" s="6" t="s">
        <v>67</v>
      </c>
      <c r="B111" s="6" t="s">
        <v>198</v>
      </c>
      <c r="C111" s="6" t="s">
        <v>110</v>
      </c>
      <c r="D111" s="6" t="s">
        <v>273</v>
      </c>
      <c r="E111" s="6" t="s">
        <v>43</v>
      </c>
      <c r="F111" s="7">
        <v>4285</v>
      </c>
      <c r="G111" s="7">
        <v>5249</v>
      </c>
      <c r="H111" s="7">
        <v>4514</v>
      </c>
      <c r="I111" s="7">
        <v>9114</v>
      </c>
      <c r="J111" s="7">
        <v>717</v>
      </c>
      <c r="K111" s="7">
        <v>9937</v>
      </c>
      <c r="L111" s="7">
        <v>1374</v>
      </c>
      <c r="M111" s="7">
        <v>8838</v>
      </c>
      <c r="N111" s="7">
        <v>2576</v>
      </c>
      <c r="O111" s="7">
        <v>6481</v>
      </c>
      <c r="P111" s="7">
        <v>2175</v>
      </c>
      <c r="Q111" s="7">
        <v>4830</v>
      </c>
      <c r="R111" s="7">
        <v>3627</v>
      </c>
      <c r="S111" s="7">
        <v>8810</v>
      </c>
      <c r="T111" s="7">
        <v>2966</v>
      </c>
      <c r="U111" s="7">
        <v>7897</v>
      </c>
      <c r="V111" s="7">
        <v>8635</v>
      </c>
      <c r="W111" s="7">
        <v>4650</v>
      </c>
      <c r="X111" s="7">
        <v>549</v>
      </c>
      <c r="Y111" s="7">
        <v>6895</v>
      </c>
      <c r="Z111" s="7">
        <v>1522</v>
      </c>
      <c r="AA111" s="7">
        <v>3342</v>
      </c>
      <c r="AB111" s="7">
        <v>7288</v>
      </c>
      <c r="AC111" s="7">
        <v>5457</v>
      </c>
      <c r="AD111" s="7">
        <v>9068</v>
      </c>
      <c r="AE111" s="7">
        <v>1308</v>
      </c>
      <c r="AF111" s="7">
        <v>4994</v>
      </c>
      <c r="AG111" s="7">
        <v>7518</v>
      </c>
      <c r="AH111" s="7">
        <v>8024</v>
      </c>
      <c r="AI111" s="7">
        <v>8568</v>
      </c>
      <c r="AJ111" s="7">
        <v>7158</v>
      </c>
      <c r="AK111" s="7">
        <v>1200</v>
      </c>
      <c r="AL111" s="7">
        <v>8581</v>
      </c>
      <c r="AM111" s="7">
        <v>4892</v>
      </c>
      <c r="AN111" s="7">
        <v>4170</v>
      </c>
      <c r="AO111" s="7">
        <v>8904</v>
      </c>
      <c r="AQ111" s="7"/>
      <c r="AR111" s="7"/>
    </row>
    <row r="112" spans="1:44" x14ac:dyDescent="0.25">
      <c r="A112" s="6" t="s">
        <v>67</v>
      </c>
      <c r="B112" s="6" t="s">
        <v>198</v>
      </c>
      <c r="C112" s="6" t="s">
        <v>38</v>
      </c>
      <c r="D112" s="6" t="s">
        <v>245</v>
      </c>
      <c r="E112" s="6" t="s">
        <v>36</v>
      </c>
      <c r="F112" s="7">
        <v>5757</v>
      </c>
      <c r="G112" s="7">
        <v>8131</v>
      </c>
      <c r="H112" s="7">
        <v>2291</v>
      </c>
      <c r="I112" s="7">
        <v>1524</v>
      </c>
      <c r="J112" s="7">
        <v>5792</v>
      </c>
      <c r="K112" s="7">
        <v>13</v>
      </c>
      <c r="L112" s="7">
        <v>1859</v>
      </c>
      <c r="M112" s="7">
        <v>8462</v>
      </c>
      <c r="N112" s="7">
        <v>9304</v>
      </c>
      <c r="O112" s="7">
        <v>8127</v>
      </c>
      <c r="P112" s="7">
        <v>9723</v>
      </c>
      <c r="Q112" s="7">
        <v>6654</v>
      </c>
      <c r="R112" s="7">
        <v>9399</v>
      </c>
      <c r="S112" s="7">
        <v>1005</v>
      </c>
      <c r="T112" s="7">
        <v>7554</v>
      </c>
      <c r="U112" s="7">
        <v>2425</v>
      </c>
      <c r="V112" s="7">
        <v>8932</v>
      </c>
      <c r="W112" s="7">
        <v>8646</v>
      </c>
      <c r="X112" s="7">
        <v>3649</v>
      </c>
      <c r="Y112" s="7">
        <v>6275</v>
      </c>
      <c r="Z112" s="7">
        <v>6236</v>
      </c>
      <c r="AA112" s="7">
        <v>3932</v>
      </c>
      <c r="AB112" s="7">
        <v>4666</v>
      </c>
      <c r="AC112" s="7">
        <v>2337</v>
      </c>
      <c r="AD112" s="7">
        <v>9973</v>
      </c>
      <c r="AE112" s="7">
        <v>3241</v>
      </c>
      <c r="AF112" s="7">
        <v>7176</v>
      </c>
      <c r="AG112" s="7">
        <v>5905</v>
      </c>
      <c r="AH112" s="7">
        <v>3696</v>
      </c>
      <c r="AI112" s="7">
        <v>2128</v>
      </c>
      <c r="AJ112" s="7">
        <v>6900</v>
      </c>
      <c r="AK112" s="7">
        <v>1864</v>
      </c>
      <c r="AL112" s="7">
        <v>9048</v>
      </c>
      <c r="AM112" s="7">
        <v>952</v>
      </c>
      <c r="AN112" s="7">
        <v>6797</v>
      </c>
      <c r="AO112" s="7">
        <v>3319</v>
      </c>
      <c r="AQ112" s="7"/>
      <c r="AR112" s="7"/>
    </row>
    <row r="113" spans="1:44" x14ac:dyDescent="0.25">
      <c r="A113" s="6" t="s">
        <v>67</v>
      </c>
      <c r="B113" s="6" t="s">
        <v>198</v>
      </c>
      <c r="C113" s="6" t="s">
        <v>69</v>
      </c>
      <c r="D113" s="6" t="s">
        <v>231</v>
      </c>
      <c r="E113" s="6" t="s">
        <v>70</v>
      </c>
      <c r="F113" s="7">
        <v>7925</v>
      </c>
      <c r="G113" s="7">
        <v>6943</v>
      </c>
      <c r="H113" s="7">
        <v>3630</v>
      </c>
      <c r="I113" s="7">
        <v>146</v>
      </c>
      <c r="J113" s="7">
        <v>1360</v>
      </c>
      <c r="K113" s="7">
        <v>2173</v>
      </c>
      <c r="L113" s="7">
        <v>4286</v>
      </c>
      <c r="M113" s="7">
        <v>6106</v>
      </c>
      <c r="N113" s="7">
        <v>1925</v>
      </c>
      <c r="O113" s="7">
        <v>5502</v>
      </c>
      <c r="P113" s="7">
        <v>8240</v>
      </c>
      <c r="Q113" s="7">
        <v>2668</v>
      </c>
      <c r="R113" s="7">
        <v>2847</v>
      </c>
      <c r="S113" s="7">
        <v>4589</v>
      </c>
      <c r="T113" s="7">
        <v>7838</v>
      </c>
      <c r="U113" s="7">
        <v>7741</v>
      </c>
      <c r="V113" s="7">
        <v>2171</v>
      </c>
      <c r="W113" s="7">
        <v>6590</v>
      </c>
      <c r="X113" s="7">
        <v>3826</v>
      </c>
      <c r="Y113" s="7">
        <v>922</v>
      </c>
      <c r="Z113" s="7">
        <v>4369</v>
      </c>
      <c r="AA113" s="7">
        <v>8315</v>
      </c>
      <c r="AB113" s="7">
        <v>9217</v>
      </c>
      <c r="AC113" s="7">
        <v>1614</v>
      </c>
      <c r="AD113" s="7">
        <v>9907</v>
      </c>
      <c r="AE113" s="7">
        <v>3602</v>
      </c>
      <c r="AF113" s="7">
        <v>7535</v>
      </c>
      <c r="AG113" s="7">
        <v>9090</v>
      </c>
      <c r="AH113" s="7">
        <v>8833</v>
      </c>
      <c r="AI113" s="7">
        <v>7341</v>
      </c>
      <c r="AJ113" s="7">
        <v>5186</v>
      </c>
      <c r="AK113" s="7">
        <v>2141</v>
      </c>
      <c r="AL113" s="7">
        <v>5423</v>
      </c>
      <c r="AM113" s="7">
        <v>2101</v>
      </c>
      <c r="AN113" s="7">
        <v>2198</v>
      </c>
      <c r="AO113" s="7">
        <v>7552</v>
      </c>
      <c r="AQ113" s="7"/>
      <c r="AR113" s="7"/>
    </row>
    <row r="114" spans="1:44" x14ac:dyDescent="0.25">
      <c r="A114" s="6" t="s">
        <v>67</v>
      </c>
      <c r="B114" s="6" t="s">
        <v>198</v>
      </c>
      <c r="C114" s="6" t="s">
        <v>66</v>
      </c>
      <c r="D114" s="6" t="s">
        <v>258</v>
      </c>
      <c r="E114" s="6" t="s">
        <v>29</v>
      </c>
      <c r="F114" s="7">
        <v>6807</v>
      </c>
      <c r="G114" s="7">
        <v>1403</v>
      </c>
      <c r="H114" s="7">
        <v>681</v>
      </c>
      <c r="I114" s="7">
        <v>3016</v>
      </c>
      <c r="J114" s="7">
        <v>3097</v>
      </c>
      <c r="K114" s="7">
        <v>1604</v>
      </c>
      <c r="L114" s="7">
        <v>3991</v>
      </c>
      <c r="M114" s="7">
        <v>1868</v>
      </c>
      <c r="N114" s="7">
        <v>8269</v>
      </c>
      <c r="O114" s="7">
        <v>7662</v>
      </c>
      <c r="P114" s="7">
        <v>5490</v>
      </c>
      <c r="Q114" s="7">
        <v>7214</v>
      </c>
      <c r="R114" s="7">
        <v>2229</v>
      </c>
      <c r="S114" s="7">
        <v>6463</v>
      </c>
      <c r="T114" s="7">
        <v>4448</v>
      </c>
      <c r="U114" s="7">
        <v>1</v>
      </c>
      <c r="V114" s="7">
        <v>1549</v>
      </c>
      <c r="W114" s="7">
        <v>1720</v>
      </c>
      <c r="X114" s="7">
        <v>3323</v>
      </c>
      <c r="Y114" s="7">
        <v>1261</v>
      </c>
      <c r="Z114" s="7">
        <v>6907</v>
      </c>
      <c r="AA114" s="7">
        <v>8145</v>
      </c>
      <c r="AB114" s="7">
        <v>9946</v>
      </c>
      <c r="AC114" s="7">
        <v>9767</v>
      </c>
      <c r="AD114" s="7">
        <v>9540</v>
      </c>
      <c r="AE114" s="7">
        <v>8929</v>
      </c>
      <c r="AF114" s="7">
        <v>8941</v>
      </c>
      <c r="AG114" s="7">
        <v>4470</v>
      </c>
      <c r="AH114" s="7">
        <v>3497</v>
      </c>
      <c r="AI114" s="7">
        <v>7074</v>
      </c>
      <c r="AJ114" s="7">
        <v>2426</v>
      </c>
      <c r="AK114" s="7">
        <v>3665</v>
      </c>
      <c r="AL114" s="7">
        <v>4967</v>
      </c>
      <c r="AM114" s="7">
        <v>3571</v>
      </c>
      <c r="AN114" s="7">
        <v>1266</v>
      </c>
      <c r="AO114" s="7">
        <v>3210</v>
      </c>
      <c r="AQ114" s="7"/>
      <c r="AR114" s="7"/>
    </row>
    <row r="115" spans="1:44" x14ac:dyDescent="0.25">
      <c r="A115" s="6" t="s">
        <v>67</v>
      </c>
      <c r="B115" s="6" t="s">
        <v>198</v>
      </c>
      <c r="C115" s="6" t="s">
        <v>40</v>
      </c>
      <c r="D115" s="6" t="s">
        <v>262</v>
      </c>
      <c r="E115" s="6" t="s">
        <v>26</v>
      </c>
      <c r="F115" s="7">
        <v>4456</v>
      </c>
      <c r="G115" s="7">
        <v>7555</v>
      </c>
      <c r="H115" s="7">
        <v>180</v>
      </c>
      <c r="I115" s="7">
        <v>2929</v>
      </c>
      <c r="J115" s="7">
        <v>3610</v>
      </c>
      <c r="K115" s="7">
        <v>2331</v>
      </c>
      <c r="L115" s="7">
        <v>960</v>
      </c>
      <c r="M115" s="7">
        <v>6125</v>
      </c>
      <c r="N115" s="7">
        <v>614</v>
      </c>
      <c r="O115" s="7">
        <v>2469</v>
      </c>
      <c r="P115" s="7">
        <v>8590</v>
      </c>
      <c r="Q115" s="7">
        <v>6197</v>
      </c>
      <c r="R115" s="7">
        <v>1421</v>
      </c>
      <c r="S115" s="7">
        <v>5058</v>
      </c>
      <c r="T115" s="7">
        <v>3684</v>
      </c>
      <c r="U115" s="7">
        <v>5527</v>
      </c>
      <c r="V115" s="7">
        <v>2931</v>
      </c>
      <c r="W115" s="7">
        <v>2073</v>
      </c>
      <c r="X115" s="7">
        <v>8845</v>
      </c>
      <c r="Y115" s="7">
        <v>1921</v>
      </c>
      <c r="Z115" s="7">
        <v>473</v>
      </c>
      <c r="AA115" s="7">
        <v>7535</v>
      </c>
      <c r="AB115" s="7">
        <v>7140</v>
      </c>
      <c r="AC115" s="7">
        <v>2157</v>
      </c>
      <c r="AD115" s="7">
        <v>928</v>
      </c>
      <c r="AE115" s="7">
        <v>2817</v>
      </c>
      <c r="AF115" s="7">
        <v>6431</v>
      </c>
      <c r="AG115" s="7">
        <v>5228</v>
      </c>
      <c r="AH115" s="7">
        <v>3877</v>
      </c>
      <c r="AI115" s="7">
        <v>3604</v>
      </c>
      <c r="AJ115" s="7">
        <v>9885</v>
      </c>
      <c r="AK115" s="7">
        <v>9499</v>
      </c>
      <c r="AL115" s="7">
        <v>4262</v>
      </c>
      <c r="AM115" s="7">
        <v>8601</v>
      </c>
      <c r="AN115" s="7">
        <v>9954</v>
      </c>
      <c r="AO115" s="7">
        <v>6823</v>
      </c>
      <c r="AQ115" s="7"/>
      <c r="AR115" s="7"/>
    </row>
    <row r="116" spans="1:44" x14ac:dyDescent="0.25">
      <c r="A116" s="6" t="s">
        <v>67</v>
      </c>
      <c r="B116" s="6" t="s">
        <v>198</v>
      </c>
      <c r="C116" s="6" t="s">
        <v>51</v>
      </c>
      <c r="D116" s="6" t="s">
        <v>232</v>
      </c>
      <c r="E116" s="6" t="s">
        <v>29</v>
      </c>
      <c r="F116" s="7">
        <v>4900</v>
      </c>
      <c r="G116" s="7">
        <v>9094</v>
      </c>
      <c r="H116" s="7">
        <v>4282</v>
      </c>
      <c r="I116" s="7">
        <v>306</v>
      </c>
      <c r="J116" s="7">
        <v>2631</v>
      </c>
      <c r="K116" s="7">
        <v>6462</v>
      </c>
      <c r="L116" s="7">
        <v>4379</v>
      </c>
      <c r="M116" s="7">
        <v>1256</v>
      </c>
      <c r="N116" s="7">
        <v>5879</v>
      </c>
      <c r="O116" s="7">
        <v>1956</v>
      </c>
      <c r="P116" s="7">
        <v>432</v>
      </c>
      <c r="Q116" s="7">
        <v>1697</v>
      </c>
      <c r="R116" s="7">
        <v>4241</v>
      </c>
      <c r="S116" s="7">
        <v>2195</v>
      </c>
      <c r="T116" s="7">
        <v>9836</v>
      </c>
      <c r="U116" s="7">
        <v>9528</v>
      </c>
      <c r="V116" s="7">
        <v>6875</v>
      </c>
      <c r="W116" s="7">
        <v>2762</v>
      </c>
      <c r="X116" s="7">
        <v>8878</v>
      </c>
      <c r="Y116" s="7">
        <v>1147</v>
      </c>
      <c r="Z116" s="7">
        <v>3362</v>
      </c>
      <c r="AA116" s="7">
        <v>9440</v>
      </c>
      <c r="AB116" s="7">
        <v>6264</v>
      </c>
      <c r="AC116" s="7">
        <v>6804</v>
      </c>
      <c r="AD116" s="7">
        <v>656</v>
      </c>
      <c r="AE116" s="7">
        <v>8209</v>
      </c>
      <c r="AF116" s="7">
        <v>4604</v>
      </c>
      <c r="AG116" s="7">
        <v>630</v>
      </c>
      <c r="AH116" s="7">
        <v>542</v>
      </c>
      <c r="AI116" s="7">
        <v>7427</v>
      </c>
      <c r="AJ116" s="7">
        <v>6630</v>
      </c>
      <c r="AK116" s="7">
        <v>1825</v>
      </c>
      <c r="AL116" s="7">
        <v>5622</v>
      </c>
      <c r="AM116" s="7">
        <v>7211</v>
      </c>
      <c r="AN116" s="7">
        <v>1097</v>
      </c>
      <c r="AO116" s="7">
        <v>5092</v>
      </c>
      <c r="AQ116" s="7"/>
      <c r="AR116" s="7"/>
    </row>
    <row r="117" spans="1:44" x14ac:dyDescent="0.25">
      <c r="A117" s="6" t="s">
        <v>67</v>
      </c>
      <c r="B117" s="6" t="s">
        <v>198</v>
      </c>
      <c r="C117" s="6" t="s">
        <v>100</v>
      </c>
      <c r="D117" s="6" t="s">
        <v>269</v>
      </c>
      <c r="E117" s="6" t="s">
        <v>33</v>
      </c>
      <c r="F117" s="7">
        <v>1081</v>
      </c>
      <c r="G117" s="7">
        <v>4882</v>
      </c>
      <c r="H117" s="7">
        <v>1165</v>
      </c>
      <c r="I117" s="7">
        <v>2641</v>
      </c>
      <c r="J117" s="7">
        <v>5702</v>
      </c>
      <c r="K117" s="7">
        <v>7500</v>
      </c>
      <c r="L117" s="7">
        <v>597</v>
      </c>
      <c r="M117" s="7">
        <v>6287</v>
      </c>
      <c r="N117" s="7">
        <v>721</v>
      </c>
      <c r="O117" s="7">
        <v>1633</v>
      </c>
      <c r="P117" s="7">
        <v>7206</v>
      </c>
      <c r="Q117" s="7">
        <v>4624</v>
      </c>
      <c r="R117" s="7">
        <v>3815</v>
      </c>
      <c r="S117" s="7">
        <v>3277</v>
      </c>
      <c r="T117" s="7">
        <v>760</v>
      </c>
      <c r="U117" s="7">
        <v>1040</v>
      </c>
      <c r="V117" s="7">
        <v>3042</v>
      </c>
      <c r="W117" s="7">
        <v>124</v>
      </c>
      <c r="X117" s="7">
        <v>2588</v>
      </c>
      <c r="Y117" s="7">
        <v>5723</v>
      </c>
      <c r="Z117" s="7">
        <v>7336</v>
      </c>
      <c r="AA117" s="7">
        <v>8679</v>
      </c>
      <c r="AB117" s="7">
        <v>6642</v>
      </c>
      <c r="AC117" s="7">
        <v>6266</v>
      </c>
      <c r="AD117" s="7">
        <v>8936</v>
      </c>
      <c r="AE117" s="7">
        <v>9664</v>
      </c>
      <c r="AF117" s="7">
        <v>7</v>
      </c>
      <c r="AG117" s="7">
        <v>8335</v>
      </c>
      <c r="AH117" s="7">
        <v>4567</v>
      </c>
      <c r="AI117" s="7">
        <v>7179</v>
      </c>
      <c r="AJ117" s="7">
        <v>1920</v>
      </c>
      <c r="AK117" s="7">
        <v>2224</v>
      </c>
      <c r="AL117" s="7">
        <v>9490</v>
      </c>
      <c r="AM117" s="7">
        <v>462</v>
      </c>
      <c r="AN117" s="7">
        <v>5005</v>
      </c>
      <c r="AO117" s="7">
        <v>6885</v>
      </c>
      <c r="AQ117" s="7"/>
      <c r="AR117" s="7"/>
    </row>
    <row r="118" spans="1:44" x14ac:dyDescent="0.25">
      <c r="A118" s="6" t="s">
        <v>67</v>
      </c>
      <c r="B118" s="6" t="s">
        <v>198</v>
      </c>
      <c r="C118" s="6" t="s">
        <v>55</v>
      </c>
      <c r="D118" s="6" t="s">
        <v>271</v>
      </c>
      <c r="E118" s="6" t="s">
        <v>29</v>
      </c>
      <c r="F118" s="7">
        <v>4027</v>
      </c>
      <c r="G118" s="7">
        <v>1333</v>
      </c>
      <c r="H118" s="7">
        <v>7894</v>
      </c>
      <c r="I118" s="7">
        <v>382</v>
      </c>
      <c r="J118" s="7">
        <v>3944</v>
      </c>
      <c r="K118" s="7">
        <v>6061</v>
      </c>
      <c r="L118" s="7">
        <v>104</v>
      </c>
      <c r="M118" s="7">
        <v>6851</v>
      </c>
      <c r="N118" s="7">
        <v>6515</v>
      </c>
      <c r="O118" s="7">
        <v>3710</v>
      </c>
      <c r="P118" s="7">
        <v>2505</v>
      </c>
      <c r="Q118" s="7">
        <v>5782</v>
      </c>
      <c r="R118" s="7">
        <v>3165</v>
      </c>
      <c r="S118" s="7">
        <v>1481</v>
      </c>
      <c r="T118" s="7">
        <v>5676</v>
      </c>
      <c r="U118" s="7">
        <v>6097</v>
      </c>
      <c r="V118" s="7">
        <v>5345</v>
      </c>
      <c r="W118" s="7">
        <v>9777</v>
      </c>
      <c r="X118" s="7">
        <v>8704</v>
      </c>
      <c r="Y118" s="7">
        <v>1984</v>
      </c>
      <c r="Z118" s="7">
        <v>7094</v>
      </c>
      <c r="AA118" s="7">
        <v>1562</v>
      </c>
      <c r="AB118" s="7">
        <v>625</v>
      </c>
      <c r="AC118" s="7">
        <v>3942</v>
      </c>
      <c r="AD118" s="7">
        <v>6394</v>
      </c>
      <c r="AE118" s="7">
        <v>1474</v>
      </c>
      <c r="AF118" s="7">
        <v>2935</v>
      </c>
      <c r="AG118" s="7">
        <v>1363</v>
      </c>
      <c r="AH118" s="7">
        <v>7177</v>
      </c>
      <c r="AI118" s="7">
        <v>4303</v>
      </c>
      <c r="AJ118" s="7">
        <v>4957</v>
      </c>
      <c r="AK118" s="7">
        <v>5256</v>
      </c>
      <c r="AL118" s="7">
        <v>2129</v>
      </c>
      <c r="AM118" s="7">
        <v>7290</v>
      </c>
      <c r="AN118" s="7">
        <v>8274</v>
      </c>
      <c r="AO118" s="7">
        <v>1517</v>
      </c>
      <c r="AQ118" s="7"/>
      <c r="AR118" s="7"/>
    </row>
    <row r="119" spans="1:44" x14ac:dyDescent="0.25">
      <c r="A119" s="6" t="s">
        <v>105</v>
      </c>
      <c r="B119" s="6" t="s">
        <v>199</v>
      </c>
      <c r="C119" s="6" t="s">
        <v>95</v>
      </c>
      <c r="D119" s="6" t="s">
        <v>259</v>
      </c>
      <c r="E119" s="6" t="s">
        <v>75</v>
      </c>
      <c r="F119" s="7">
        <v>219</v>
      </c>
      <c r="G119" s="7">
        <v>9967</v>
      </c>
      <c r="H119" s="7">
        <v>2170</v>
      </c>
      <c r="I119" s="7">
        <v>2109</v>
      </c>
      <c r="J119" s="7">
        <v>1296</v>
      </c>
      <c r="K119" s="7">
        <v>2147</v>
      </c>
      <c r="L119" s="7">
        <v>16</v>
      </c>
      <c r="M119" s="7">
        <v>173</v>
      </c>
      <c r="N119" s="7">
        <v>8265</v>
      </c>
      <c r="O119" s="7">
        <v>9024</v>
      </c>
      <c r="P119" s="7">
        <v>1195</v>
      </c>
      <c r="Q119" s="7">
        <v>7366</v>
      </c>
      <c r="R119" s="7">
        <v>269</v>
      </c>
      <c r="S119" s="7">
        <v>8544</v>
      </c>
      <c r="T119" s="7">
        <v>8580</v>
      </c>
      <c r="U119" s="7">
        <v>7492</v>
      </c>
      <c r="V119" s="7">
        <v>4687</v>
      </c>
      <c r="W119" s="7">
        <v>8567</v>
      </c>
      <c r="X119" s="7">
        <v>1300</v>
      </c>
      <c r="Y119" s="7">
        <v>6877</v>
      </c>
      <c r="Z119" s="7">
        <v>5453</v>
      </c>
      <c r="AA119" s="7">
        <v>7805</v>
      </c>
      <c r="AB119" s="7">
        <v>6047</v>
      </c>
      <c r="AC119" s="7">
        <v>1582</v>
      </c>
      <c r="AD119" s="7">
        <v>456</v>
      </c>
      <c r="AE119" s="7">
        <v>5185</v>
      </c>
      <c r="AF119" s="7">
        <v>1992</v>
      </c>
      <c r="AG119" s="7">
        <v>9468</v>
      </c>
      <c r="AH119" s="7">
        <v>8011</v>
      </c>
      <c r="AI119" s="7">
        <v>8460</v>
      </c>
      <c r="AJ119" s="7">
        <v>6283</v>
      </c>
      <c r="AK119" s="7">
        <v>1385</v>
      </c>
      <c r="AL119" s="7">
        <v>5385</v>
      </c>
      <c r="AM119" s="7">
        <v>5162</v>
      </c>
      <c r="AN119" s="7">
        <v>6038</v>
      </c>
      <c r="AO119" s="7">
        <v>9212</v>
      </c>
      <c r="AQ119" s="7"/>
      <c r="AR119" s="7"/>
    </row>
    <row r="120" spans="1:44" x14ac:dyDescent="0.25">
      <c r="A120" s="6" t="s">
        <v>137</v>
      </c>
      <c r="B120" s="6" t="s">
        <v>200</v>
      </c>
      <c r="C120" s="6" t="s">
        <v>97</v>
      </c>
      <c r="D120" s="6" t="s">
        <v>244</v>
      </c>
      <c r="E120" s="6" t="s">
        <v>70</v>
      </c>
      <c r="F120" s="7">
        <v>2851</v>
      </c>
      <c r="G120" s="7">
        <v>9624</v>
      </c>
      <c r="H120" s="7">
        <v>4375</v>
      </c>
      <c r="I120" s="7">
        <v>4499</v>
      </c>
      <c r="J120" s="7">
        <v>8794</v>
      </c>
      <c r="K120" s="7">
        <v>157</v>
      </c>
      <c r="L120" s="7">
        <v>2446</v>
      </c>
      <c r="M120" s="7">
        <v>8278</v>
      </c>
      <c r="N120" s="7">
        <v>6778</v>
      </c>
      <c r="O120" s="7">
        <v>9162</v>
      </c>
      <c r="P120" s="7">
        <v>408</v>
      </c>
      <c r="Q120" s="7">
        <v>1598</v>
      </c>
      <c r="R120" s="7">
        <v>8149</v>
      </c>
      <c r="S120" s="7">
        <v>1249</v>
      </c>
      <c r="T120" s="7">
        <v>7474</v>
      </c>
      <c r="U120" s="7">
        <v>8958</v>
      </c>
      <c r="V120" s="7">
        <v>5204</v>
      </c>
      <c r="W120" s="7">
        <v>3939</v>
      </c>
      <c r="X120" s="7">
        <v>5644</v>
      </c>
      <c r="Y120" s="7">
        <v>3856</v>
      </c>
      <c r="Z120" s="7">
        <v>5867</v>
      </c>
      <c r="AA120" s="7">
        <v>2956</v>
      </c>
      <c r="AB120" s="7">
        <v>6834</v>
      </c>
      <c r="AC120" s="7">
        <v>5562</v>
      </c>
      <c r="AD120" s="7">
        <v>7139</v>
      </c>
      <c r="AE120" s="7">
        <v>3317</v>
      </c>
      <c r="AF120" s="7">
        <v>6222</v>
      </c>
      <c r="AG120" s="7">
        <v>6217</v>
      </c>
      <c r="AH120" s="7">
        <v>7502</v>
      </c>
      <c r="AI120" s="7">
        <v>5795</v>
      </c>
      <c r="AJ120" s="7">
        <v>9510</v>
      </c>
      <c r="AK120" s="7">
        <v>6603</v>
      </c>
      <c r="AL120" s="7">
        <v>7608</v>
      </c>
      <c r="AM120" s="7">
        <v>2181</v>
      </c>
      <c r="AN120" s="7">
        <v>3487</v>
      </c>
      <c r="AO120" s="7">
        <v>7461</v>
      </c>
      <c r="AQ120" s="7"/>
      <c r="AR120" s="7"/>
    </row>
    <row r="121" spans="1:44" x14ac:dyDescent="0.25">
      <c r="A121" s="6" t="s">
        <v>137</v>
      </c>
      <c r="B121" s="6" t="s">
        <v>200</v>
      </c>
      <c r="C121" s="6" t="s">
        <v>82</v>
      </c>
      <c r="D121" s="6" t="s">
        <v>261</v>
      </c>
      <c r="E121" s="6" t="s">
        <v>36</v>
      </c>
      <c r="F121" s="7">
        <v>841</v>
      </c>
      <c r="G121" s="7">
        <v>1283</v>
      </c>
      <c r="H121" s="7">
        <v>3975</v>
      </c>
      <c r="I121" s="7">
        <v>9115</v>
      </c>
      <c r="J121" s="7">
        <v>5577</v>
      </c>
      <c r="K121" s="7">
        <v>1288</v>
      </c>
      <c r="L121" s="7">
        <v>3263</v>
      </c>
      <c r="M121" s="7">
        <v>8162</v>
      </c>
      <c r="N121" s="7">
        <v>1124</v>
      </c>
      <c r="O121" s="7">
        <v>4600</v>
      </c>
      <c r="P121" s="7">
        <v>4033</v>
      </c>
      <c r="Q121" s="7">
        <v>6144</v>
      </c>
      <c r="R121" s="7">
        <v>4637</v>
      </c>
      <c r="S121" s="7">
        <v>7434</v>
      </c>
      <c r="T121" s="7">
        <v>4427</v>
      </c>
      <c r="U121" s="7">
        <v>7824</v>
      </c>
      <c r="V121" s="7">
        <v>7348</v>
      </c>
      <c r="W121" s="7">
        <v>5346</v>
      </c>
      <c r="X121" s="7">
        <v>5161</v>
      </c>
      <c r="Y121" s="7">
        <v>5965</v>
      </c>
      <c r="Z121" s="7">
        <v>9364</v>
      </c>
      <c r="AA121" s="7">
        <v>8771</v>
      </c>
      <c r="AB121" s="7">
        <v>7377</v>
      </c>
      <c r="AC121" s="7">
        <v>5790</v>
      </c>
      <c r="AD121" s="7">
        <v>6481</v>
      </c>
      <c r="AE121" s="7">
        <v>6230</v>
      </c>
      <c r="AF121" s="7">
        <v>4723</v>
      </c>
      <c r="AG121" s="7">
        <v>1238</v>
      </c>
      <c r="AH121" s="7">
        <v>7934</v>
      </c>
      <c r="AI121" s="7">
        <v>97</v>
      </c>
      <c r="AJ121" s="7">
        <v>5860</v>
      </c>
      <c r="AK121" s="7">
        <v>7257</v>
      </c>
      <c r="AL121" s="7">
        <v>2478</v>
      </c>
      <c r="AM121" s="7">
        <v>242</v>
      </c>
      <c r="AN121" s="7">
        <v>923</v>
      </c>
      <c r="AO121" s="7">
        <v>9984</v>
      </c>
      <c r="AQ121" s="7"/>
      <c r="AR121" s="7"/>
    </row>
    <row r="122" spans="1:44" x14ac:dyDescent="0.25">
      <c r="A122" s="6" t="s">
        <v>137</v>
      </c>
      <c r="B122" s="6" t="s">
        <v>200</v>
      </c>
      <c r="C122" s="6" t="s">
        <v>91</v>
      </c>
      <c r="D122" s="6" t="s">
        <v>257</v>
      </c>
      <c r="E122" s="6" t="s">
        <v>29</v>
      </c>
      <c r="F122" s="7">
        <v>658</v>
      </c>
      <c r="G122" s="7">
        <v>8687</v>
      </c>
      <c r="H122" s="7">
        <v>8614</v>
      </c>
      <c r="I122" s="7">
        <v>510</v>
      </c>
      <c r="J122" s="7">
        <v>9930</v>
      </c>
      <c r="K122" s="7">
        <v>8364</v>
      </c>
      <c r="L122" s="7">
        <v>2658</v>
      </c>
      <c r="M122" s="7">
        <v>984</v>
      </c>
      <c r="N122" s="7">
        <v>2742</v>
      </c>
      <c r="O122" s="7">
        <v>9469</v>
      </c>
      <c r="P122" s="7">
        <v>2662</v>
      </c>
      <c r="Q122" s="7">
        <v>1909</v>
      </c>
      <c r="R122" s="7">
        <v>8968</v>
      </c>
      <c r="S122" s="7">
        <v>3512</v>
      </c>
      <c r="T122" s="7">
        <v>378</v>
      </c>
      <c r="U122" s="7">
        <v>6806</v>
      </c>
      <c r="V122" s="7">
        <v>7196</v>
      </c>
      <c r="W122" s="7">
        <v>7007</v>
      </c>
      <c r="X122" s="7">
        <v>3431</v>
      </c>
      <c r="Y122" s="7">
        <v>9996</v>
      </c>
      <c r="Z122" s="7">
        <v>4791</v>
      </c>
      <c r="AA122" s="7">
        <v>3672</v>
      </c>
      <c r="AB122" s="7">
        <v>4068</v>
      </c>
      <c r="AC122" s="7">
        <v>9117</v>
      </c>
      <c r="AD122" s="7">
        <v>5571</v>
      </c>
      <c r="AE122" s="7">
        <v>3424</v>
      </c>
      <c r="AF122" s="7">
        <v>253</v>
      </c>
      <c r="AG122" s="7">
        <v>1976</v>
      </c>
      <c r="AH122" s="7">
        <v>7674</v>
      </c>
      <c r="AI122" s="7">
        <v>6026</v>
      </c>
      <c r="AJ122" s="7">
        <v>4922</v>
      </c>
      <c r="AK122" s="7">
        <v>6002</v>
      </c>
      <c r="AL122" s="7">
        <v>5777</v>
      </c>
      <c r="AM122" s="7">
        <v>2384</v>
      </c>
      <c r="AN122" s="7">
        <v>250</v>
      </c>
      <c r="AO122" s="7">
        <v>8801</v>
      </c>
      <c r="AQ122" s="7"/>
      <c r="AR122" s="7"/>
    </row>
    <row r="123" spans="1:44" x14ac:dyDescent="0.25">
      <c r="A123" s="6" t="s">
        <v>137</v>
      </c>
      <c r="B123" s="6" t="s">
        <v>200</v>
      </c>
      <c r="C123" s="6" t="s">
        <v>85</v>
      </c>
      <c r="D123" s="6" t="s">
        <v>235</v>
      </c>
      <c r="E123" s="6" t="s">
        <v>26</v>
      </c>
      <c r="F123" s="7">
        <v>1873</v>
      </c>
      <c r="G123" s="7">
        <v>4352</v>
      </c>
      <c r="H123" s="7">
        <v>9609</v>
      </c>
      <c r="I123" s="7">
        <v>7470</v>
      </c>
      <c r="J123" s="7">
        <v>2348</v>
      </c>
      <c r="K123" s="7">
        <v>3455</v>
      </c>
      <c r="L123" s="7">
        <v>8475</v>
      </c>
      <c r="M123" s="7">
        <v>5779</v>
      </c>
      <c r="N123" s="7">
        <v>1778</v>
      </c>
      <c r="O123" s="7">
        <v>444</v>
      </c>
      <c r="P123" s="7">
        <v>1918</v>
      </c>
      <c r="Q123" s="7">
        <v>5085</v>
      </c>
      <c r="R123" s="7">
        <v>8956</v>
      </c>
      <c r="S123" s="7">
        <v>3036</v>
      </c>
      <c r="T123" s="7">
        <v>1029</v>
      </c>
      <c r="U123" s="7">
        <v>9634</v>
      </c>
      <c r="V123" s="7">
        <v>2535</v>
      </c>
      <c r="W123" s="7">
        <v>8573</v>
      </c>
      <c r="X123" s="7">
        <v>167</v>
      </c>
      <c r="Y123" s="7">
        <v>3037</v>
      </c>
      <c r="Z123" s="7">
        <v>3700</v>
      </c>
      <c r="AA123" s="7">
        <v>4540</v>
      </c>
      <c r="AB123" s="7">
        <v>2157</v>
      </c>
      <c r="AC123" s="7">
        <v>4603</v>
      </c>
      <c r="AD123" s="7">
        <v>3442</v>
      </c>
      <c r="AE123" s="7">
        <v>5222</v>
      </c>
      <c r="AF123" s="7">
        <v>9730</v>
      </c>
      <c r="AG123" s="7">
        <v>8593</v>
      </c>
      <c r="AH123" s="7">
        <v>52</v>
      </c>
      <c r="AI123" s="7">
        <v>2628</v>
      </c>
      <c r="AJ123" s="7">
        <v>2216</v>
      </c>
      <c r="AK123" s="7">
        <v>4729</v>
      </c>
      <c r="AL123" s="7">
        <v>1863</v>
      </c>
      <c r="AM123" s="7">
        <v>1965</v>
      </c>
      <c r="AN123" s="7">
        <v>5721</v>
      </c>
      <c r="AO123" s="7">
        <v>3563</v>
      </c>
      <c r="AQ123" s="7"/>
      <c r="AR123" s="7"/>
    </row>
    <row r="124" spans="1:44" x14ac:dyDescent="0.25">
      <c r="A124" s="6" t="s">
        <v>77</v>
      </c>
      <c r="B124" s="6" t="s">
        <v>201</v>
      </c>
      <c r="C124" s="6" t="s">
        <v>121</v>
      </c>
      <c r="D124" s="6" t="s">
        <v>230</v>
      </c>
      <c r="E124" s="6" t="s">
        <v>59</v>
      </c>
      <c r="F124" s="7">
        <v>5410</v>
      </c>
      <c r="G124" s="7">
        <v>9608</v>
      </c>
      <c r="H124" s="7">
        <v>1909</v>
      </c>
      <c r="I124" s="7">
        <v>7575</v>
      </c>
      <c r="J124" s="7">
        <v>2654</v>
      </c>
      <c r="K124" s="7">
        <v>2191</v>
      </c>
      <c r="L124" s="7">
        <v>7584</v>
      </c>
      <c r="M124" s="7">
        <v>8016</v>
      </c>
      <c r="N124" s="7">
        <v>6353</v>
      </c>
      <c r="O124" s="7">
        <v>502</v>
      </c>
      <c r="P124" s="7">
        <v>298</v>
      </c>
      <c r="Q124" s="7">
        <v>4465</v>
      </c>
      <c r="R124" s="7">
        <v>7588</v>
      </c>
      <c r="S124" s="7">
        <v>5764</v>
      </c>
      <c r="T124" s="7">
        <v>5290</v>
      </c>
      <c r="U124" s="7">
        <v>7404</v>
      </c>
      <c r="V124" s="7">
        <v>9232</v>
      </c>
      <c r="W124" s="7">
        <v>8369</v>
      </c>
      <c r="X124" s="7">
        <v>4529</v>
      </c>
      <c r="Y124" s="7">
        <v>7676</v>
      </c>
      <c r="Z124" s="7">
        <v>1110</v>
      </c>
      <c r="AA124" s="7">
        <v>9985</v>
      </c>
      <c r="AB124" s="7">
        <v>6476</v>
      </c>
      <c r="AC124" s="7">
        <v>8955</v>
      </c>
      <c r="AD124" s="7">
        <v>2364</v>
      </c>
      <c r="AE124" s="7">
        <v>8560</v>
      </c>
      <c r="AF124" s="7">
        <v>620</v>
      </c>
      <c r="AG124" s="7">
        <v>2292</v>
      </c>
      <c r="AH124" s="7">
        <v>1409</v>
      </c>
      <c r="AI124" s="7">
        <v>6794</v>
      </c>
      <c r="AJ124" s="7">
        <v>3589</v>
      </c>
      <c r="AK124" s="7">
        <v>3132</v>
      </c>
      <c r="AL124" s="7">
        <v>3778</v>
      </c>
      <c r="AM124" s="7">
        <v>8451</v>
      </c>
      <c r="AN124" s="7">
        <v>9065</v>
      </c>
      <c r="AO124" s="7">
        <v>6085</v>
      </c>
      <c r="AQ124" s="7"/>
      <c r="AR124" s="7"/>
    </row>
    <row r="125" spans="1:44" x14ac:dyDescent="0.25">
      <c r="A125" s="6" t="s">
        <v>77</v>
      </c>
      <c r="B125" s="6" t="s">
        <v>201</v>
      </c>
      <c r="C125" s="6" t="s">
        <v>148</v>
      </c>
      <c r="D125" s="6" t="s">
        <v>249</v>
      </c>
      <c r="E125" s="6" t="s">
        <v>36</v>
      </c>
      <c r="F125" s="7">
        <v>9619</v>
      </c>
      <c r="G125" s="7">
        <v>9507</v>
      </c>
      <c r="H125" s="7">
        <v>6368</v>
      </c>
      <c r="I125" s="7">
        <v>4433</v>
      </c>
      <c r="J125" s="7">
        <v>1609</v>
      </c>
      <c r="K125" s="7">
        <v>4865</v>
      </c>
      <c r="L125" s="7">
        <v>1277</v>
      </c>
      <c r="M125" s="7">
        <v>9212</v>
      </c>
      <c r="N125" s="7">
        <v>2496</v>
      </c>
      <c r="O125" s="7">
        <v>3690</v>
      </c>
      <c r="P125" s="7">
        <v>4176</v>
      </c>
      <c r="Q125" s="7">
        <v>1615</v>
      </c>
      <c r="R125" s="7">
        <v>5962</v>
      </c>
      <c r="S125" s="7">
        <v>1927</v>
      </c>
      <c r="T125" s="7">
        <v>4208</v>
      </c>
      <c r="U125" s="7">
        <v>2200</v>
      </c>
      <c r="V125" s="7">
        <v>2745</v>
      </c>
      <c r="W125" s="7">
        <v>1366</v>
      </c>
      <c r="X125" s="7">
        <v>8798</v>
      </c>
      <c r="Y125" s="7">
        <v>5108</v>
      </c>
      <c r="Z125" s="7">
        <v>6938</v>
      </c>
      <c r="AA125" s="7">
        <v>5760</v>
      </c>
      <c r="AB125" s="7">
        <v>7350</v>
      </c>
      <c r="AC125" s="7">
        <v>8341</v>
      </c>
      <c r="AD125" s="7">
        <v>8505</v>
      </c>
      <c r="AE125" s="7">
        <v>601</v>
      </c>
      <c r="AF125" s="7">
        <v>9035</v>
      </c>
      <c r="AG125" s="7">
        <v>641</v>
      </c>
      <c r="AH125" s="7">
        <v>7278</v>
      </c>
      <c r="AI125" s="7">
        <v>2866</v>
      </c>
      <c r="AJ125" s="7">
        <v>7088</v>
      </c>
      <c r="AK125" s="7">
        <v>4529</v>
      </c>
      <c r="AL125" s="7">
        <v>8978</v>
      </c>
      <c r="AM125" s="7">
        <v>4066</v>
      </c>
      <c r="AN125" s="7">
        <v>4708</v>
      </c>
      <c r="AO125" s="7">
        <v>9557</v>
      </c>
      <c r="AQ125" s="7"/>
      <c r="AR125" s="7"/>
    </row>
    <row r="126" spans="1:44" x14ac:dyDescent="0.25">
      <c r="A126" s="6" t="s">
        <v>77</v>
      </c>
      <c r="B126" s="6" t="s">
        <v>201</v>
      </c>
      <c r="C126" s="6" t="s">
        <v>72</v>
      </c>
      <c r="D126" s="6" t="s">
        <v>240</v>
      </c>
      <c r="E126" s="6" t="s">
        <v>26</v>
      </c>
      <c r="F126" s="7">
        <v>1460</v>
      </c>
      <c r="G126" s="7">
        <v>5482</v>
      </c>
      <c r="H126" s="7">
        <v>5993</v>
      </c>
      <c r="I126" s="7">
        <v>2845</v>
      </c>
      <c r="J126" s="7">
        <v>6465</v>
      </c>
      <c r="K126" s="7">
        <v>2536</v>
      </c>
      <c r="L126" s="7">
        <v>9977</v>
      </c>
      <c r="M126" s="7">
        <v>6153</v>
      </c>
      <c r="N126" s="7">
        <v>2752</v>
      </c>
      <c r="O126" s="7">
        <v>8865</v>
      </c>
      <c r="P126" s="7">
        <v>9213</v>
      </c>
      <c r="Q126" s="7">
        <v>4737</v>
      </c>
      <c r="R126" s="7">
        <v>2383</v>
      </c>
      <c r="S126" s="7">
        <v>6462</v>
      </c>
      <c r="T126" s="7">
        <v>4886</v>
      </c>
      <c r="U126" s="7">
        <v>5348</v>
      </c>
      <c r="V126" s="7">
        <v>6610</v>
      </c>
      <c r="W126" s="7">
        <v>5010</v>
      </c>
      <c r="X126" s="7">
        <v>58</v>
      </c>
      <c r="Y126" s="7">
        <v>6723</v>
      </c>
      <c r="Z126" s="7">
        <v>1809</v>
      </c>
      <c r="AA126" s="7">
        <v>8109</v>
      </c>
      <c r="AB126" s="7">
        <v>2911</v>
      </c>
      <c r="AC126" s="7">
        <v>7955</v>
      </c>
      <c r="AD126" s="7">
        <v>4303</v>
      </c>
      <c r="AE126" s="7">
        <v>4848</v>
      </c>
      <c r="AF126" s="7">
        <v>3452</v>
      </c>
      <c r="AG126" s="7">
        <v>2860</v>
      </c>
      <c r="AH126" s="7">
        <v>697</v>
      </c>
      <c r="AI126" s="7">
        <v>6006</v>
      </c>
      <c r="AJ126" s="7">
        <v>939</v>
      </c>
      <c r="AK126" s="7">
        <v>4609</v>
      </c>
      <c r="AL126" s="7">
        <v>5702</v>
      </c>
      <c r="AM126" s="7">
        <v>8556</v>
      </c>
      <c r="AN126" s="7">
        <v>8303</v>
      </c>
      <c r="AO126" s="7">
        <v>6667</v>
      </c>
      <c r="AQ126" s="7"/>
      <c r="AR126" s="7"/>
    </row>
    <row r="127" spans="1:44" x14ac:dyDescent="0.25">
      <c r="A127" s="6" t="s">
        <v>77</v>
      </c>
      <c r="B127" s="6" t="s">
        <v>201</v>
      </c>
      <c r="C127" s="6" t="s">
        <v>91</v>
      </c>
      <c r="D127" s="6" t="s">
        <v>257</v>
      </c>
      <c r="E127" s="6" t="s">
        <v>29</v>
      </c>
      <c r="F127" s="7">
        <v>5455</v>
      </c>
      <c r="G127" s="7">
        <v>4895</v>
      </c>
      <c r="H127" s="7">
        <v>217</v>
      </c>
      <c r="I127" s="7">
        <v>8780</v>
      </c>
      <c r="J127" s="7">
        <v>6708</v>
      </c>
      <c r="K127" s="7">
        <v>8404</v>
      </c>
      <c r="L127" s="7">
        <v>7302</v>
      </c>
      <c r="M127" s="7">
        <v>2188</v>
      </c>
      <c r="N127" s="7">
        <v>312</v>
      </c>
      <c r="O127" s="7">
        <v>3651</v>
      </c>
      <c r="P127" s="7">
        <v>6519</v>
      </c>
      <c r="Q127" s="7">
        <v>1061</v>
      </c>
      <c r="R127" s="7">
        <v>108</v>
      </c>
      <c r="S127" s="7">
        <v>9573</v>
      </c>
      <c r="T127" s="7">
        <v>2390</v>
      </c>
      <c r="U127" s="7">
        <v>7902</v>
      </c>
      <c r="V127" s="7">
        <v>1918</v>
      </c>
      <c r="W127" s="7">
        <v>9050</v>
      </c>
      <c r="X127" s="7">
        <v>6592</v>
      </c>
      <c r="Y127" s="7">
        <v>7742</v>
      </c>
      <c r="Z127" s="7">
        <v>4297</v>
      </c>
      <c r="AA127" s="7">
        <v>149</v>
      </c>
      <c r="AB127" s="7">
        <v>6794</v>
      </c>
      <c r="AC127" s="7">
        <v>1135</v>
      </c>
      <c r="AD127" s="7">
        <v>3046</v>
      </c>
      <c r="AE127" s="7">
        <v>5052</v>
      </c>
      <c r="AF127" s="7">
        <v>9306</v>
      </c>
      <c r="AG127" s="7">
        <v>7499</v>
      </c>
      <c r="AH127" s="7">
        <v>400</v>
      </c>
      <c r="AI127" s="7">
        <v>4896</v>
      </c>
      <c r="AJ127" s="7">
        <v>5853</v>
      </c>
      <c r="AK127" s="7">
        <v>6074</v>
      </c>
      <c r="AL127" s="7">
        <v>3787</v>
      </c>
      <c r="AM127" s="7">
        <v>366</v>
      </c>
      <c r="AN127" s="7">
        <v>8026</v>
      </c>
      <c r="AO127" s="7">
        <v>464</v>
      </c>
      <c r="AQ127" s="7"/>
      <c r="AR127" s="7"/>
    </row>
    <row r="128" spans="1:44" x14ac:dyDescent="0.25">
      <c r="A128" s="6" t="s">
        <v>77</v>
      </c>
      <c r="B128" s="6" t="s">
        <v>201</v>
      </c>
      <c r="C128" s="6" t="s">
        <v>102</v>
      </c>
      <c r="D128" s="6" t="s">
        <v>233</v>
      </c>
      <c r="E128" s="6" t="s">
        <v>75</v>
      </c>
      <c r="F128" s="7">
        <v>6603</v>
      </c>
      <c r="G128" s="7">
        <v>1322</v>
      </c>
      <c r="H128" s="7">
        <v>8143</v>
      </c>
      <c r="I128" s="7">
        <v>9893</v>
      </c>
      <c r="J128" s="7">
        <v>7214</v>
      </c>
      <c r="K128" s="7">
        <v>4520</v>
      </c>
      <c r="L128" s="7">
        <v>2473</v>
      </c>
      <c r="M128" s="7">
        <v>7018</v>
      </c>
      <c r="N128" s="7">
        <v>915</v>
      </c>
      <c r="O128" s="7">
        <v>4872</v>
      </c>
      <c r="P128" s="7">
        <v>2368</v>
      </c>
      <c r="Q128" s="7">
        <v>2014</v>
      </c>
      <c r="R128" s="7">
        <v>24</v>
      </c>
      <c r="S128" s="7">
        <v>8369</v>
      </c>
      <c r="T128" s="7">
        <v>2041</v>
      </c>
      <c r="U128" s="7">
        <v>392</v>
      </c>
      <c r="V128" s="7">
        <v>7568</v>
      </c>
      <c r="W128" s="7">
        <v>387</v>
      </c>
      <c r="X128" s="7">
        <v>8862</v>
      </c>
      <c r="Y128" s="7">
        <v>5146</v>
      </c>
      <c r="Z128" s="7">
        <v>8934</v>
      </c>
      <c r="AA128" s="7">
        <v>1669</v>
      </c>
      <c r="AB128" s="7">
        <v>5344</v>
      </c>
      <c r="AC128" s="7">
        <v>6256</v>
      </c>
      <c r="AD128" s="7">
        <v>5787</v>
      </c>
      <c r="AE128" s="7">
        <v>6632</v>
      </c>
      <c r="AF128" s="7">
        <v>8465</v>
      </c>
      <c r="AG128" s="7">
        <v>715</v>
      </c>
      <c r="AH128" s="7">
        <v>9626</v>
      </c>
      <c r="AI128" s="7">
        <v>1124</v>
      </c>
      <c r="AJ128" s="7">
        <v>6543</v>
      </c>
      <c r="AK128" s="7">
        <v>654</v>
      </c>
      <c r="AL128" s="7">
        <v>1729</v>
      </c>
      <c r="AM128" s="7">
        <v>5349</v>
      </c>
      <c r="AN128" s="7">
        <v>2765</v>
      </c>
      <c r="AO128" s="7">
        <v>6101</v>
      </c>
      <c r="AQ128" s="7"/>
      <c r="AR128" s="7"/>
    </row>
    <row r="129" spans="1:44" x14ac:dyDescent="0.25">
      <c r="A129" s="6" t="s">
        <v>77</v>
      </c>
      <c r="B129" s="6" t="s">
        <v>201</v>
      </c>
      <c r="C129" s="6" t="s">
        <v>82</v>
      </c>
      <c r="D129" s="6" t="s">
        <v>261</v>
      </c>
      <c r="E129" s="6" t="s">
        <v>36</v>
      </c>
      <c r="F129" s="7">
        <v>1965</v>
      </c>
      <c r="G129" s="7">
        <v>3143</v>
      </c>
      <c r="H129" s="7">
        <v>150</v>
      </c>
      <c r="I129" s="7">
        <v>5104</v>
      </c>
      <c r="J129" s="7">
        <v>7239</v>
      </c>
      <c r="K129" s="7">
        <v>1533</v>
      </c>
      <c r="L129" s="7">
        <v>1961</v>
      </c>
      <c r="M129" s="7">
        <v>9259</v>
      </c>
      <c r="N129" s="7">
        <v>7262</v>
      </c>
      <c r="O129" s="7">
        <v>8216</v>
      </c>
      <c r="P129" s="7">
        <v>5161</v>
      </c>
      <c r="Q129" s="7">
        <v>2899</v>
      </c>
      <c r="R129" s="7">
        <v>1366</v>
      </c>
      <c r="S129" s="7">
        <v>7925</v>
      </c>
      <c r="T129" s="7">
        <v>3073</v>
      </c>
      <c r="U129" s="7">
        <v>7618</v>
      </c>
      <c r="V129" s="7">
        <v>3089</v>
      </c>
      <c r="W129" s="7">
        <v>6572</v>
      </c>
      <c r="X129" s="7">
        <v>818</v>
      </c>
      <c r="Y129" s="7">
        <v>7153</v>
      </c>
      <c r="Z129" s="7">
        <v>9466</v>
      </c>
      <c r="AA129" s="7">
        <v>223</v>
      </c>
      <c r="AB129" s="7">
        <v>3183</v>
      </c>
      <c r="AC129" s="7">
        <v>9784</v>
      </c>
      <c r="AD129" s="7">
        <v>4911</v>
      </c>
      <c r="AE129" s="7">
        <v>6272</v>
      </c>
      <c r="AF129" s="7">
        <v>1936</v>
      </c>
      <c r="AG129" s="7">
        <v>5599</v>
      </c>
      <c r="AH129" s="7">
        <v>26</v>
      </c>
      <c r="AI129" s="7">
        <v>9946</v>
      </c>
      <c r="AJ129" s="7">
        <v>5651</v>
      </c>
      <c r="AK129" s="7">
        <v>3116</v>
      </c>
      <c r="AL129" s="7">
        <v>6161</v>
      </c>
      <c r="AM129" s="7">
        <v>2237</v>
      </c>
      <c r="AN129" s="7">
        <v>1826</v>
      </c>
      <c r="AO129" s="7">
        <v>2117</v>
      </c>
      <c r="AQ129" s="7"/>
      <c r="AR129" s="7"/>
    </row>
    <row r="130" spans="1:44" x14ac:dyDescent="0.25">
      <c r="A130" s="6" t="s">
        <v>128</v>
      </c>
      <c r="B130" s="6" t="s">
        <v>202</v>
      </c>
      <c r="C130" s="6" t="s">
        <v>97</v>
      </c>
      <c r="D130" s="6" t="s">
        <v>244</v>
      </c>
      <c r="E130" s="6" t="s">
        <v>70</v>
      </c>
      <c r="F130" s="7">
        <v>2287</v>
      </c>
      <c r="G130" s="7">
        <v>5385</v>
      </c>
      <c r="H130" s="7">
        <v>6075</v>
      </c>
      <c r="I130" s="7">
        <v>3931</v>
      </c>
      <c r="J130" s="7">
        <v>4830</v>
      </c>
      <c r="K130" s="7">
        <v>8603</v>
      </c>
      <c r="L130" s="7">
        <v>9312</v>
      </c>
      <c r="M130" s="7">
        <v>5839</v>
      </c>
      <c r="N130" s="7">
        <v>6360</v>
      </c>
      <c r="O130" s="7">
        <v>548</v>
      </c>
      <c r="P130" s="7">
        <v>6717</v>
      </c>
      <c r="Q130" s="7">
        <v>6861</v>
      </c>
      <c r="R130" s="7">
        <v>5086</v>
      </c>
      <c r="S130" s="7">
        <v>5972</v>
      </c>
      <c r="T130" s="7">
        <v>7071</v>
      </c>
      <c r="U130" s="7">
        <v>2915</v>
      </c>
      <c r="V130" s="7">
        <v>131</v>
      </c>
      <c r="W130" s="7">
        <v>5809</v>
      </c>
      <c r="X130" s="7">
        <v>7607</v>
      </c>
      <c r="Y130" s="7">
        <v>9458</v>
      </c>
      <c r="Z130" s="7">
        <v>6415</v>
      </c>
      <c r="AA130" s="7">
        <v>8058</v>
      </c>
      <c r="AB130" s="7">
        <v>7332</v>
      </c>
      <c r="AC130" s="7">
        <v>3092</v>
      </c>
      <c r="AD130" s="7">
        <v>4637</v>
      </c>
      <c r="AE130" s="7">
        <v>2690</v>
      </c>
      <c r="AF130" s="7">
        <v>5866</v>
      </c>
      <c r="AG130" s="7">
        <v>7174</v>
      </c>
      <c r="AH130" s="7">
        <v>9435</v>
      </c>
      <c r="AI130" s="7">
        <v>39</v>
      </c>
      <c r="AJ130" s="7">
        <v>6117</v>
      </c>
      <c r="AK130" s="7">
        <v>9355</v>
      </c>
      <c r="AL130" s="7">
        <v>7720</v>
      </c>
      <c r="AM130" s="7">
        <v>9140</v>
      </c>
      <c r="AN130" s="7">
        <v>9707</v>
      </c>
      <c r="AO130" s="7">
        <v>9665</v>
      </c>
      <c r="AQ130" s="7"/>
      <c r="AR130" s="7"/>
    </row>
    <row r="131" spans="1:44" x14ac:dyDescent="0.25">
      <c r="A131" s="6" t="s">
        <v>107</v>
      </c>
      <c r="B131" s="6" t="s">
        <v>203</v>
      </c>
      <c r="C131" s="6" t="s">
        <v>25</v>
      </c>
      <c r="D131" s="6" t="s">
        <v>234</v>
      </c>
      <c r="E131" s="6" t="s">
        <v>26</v>
      </c>
      <c r="F131" s="7">
        <v>2579</v>
      </c>
      <c r="G131" s="7">
        <v>7147</v>
      </c>
      <c r="H131" s="7">
        <v>8703</v>
      </c>
      <c r="I131" s="7">
        <v>4631</v>
      </c>
      <c r="J131" s="7">
        <v>4824</v>
      </c>
      <c r="K131" s="7">
        <v>7858</v>
      </c>
      <c r="L131" s="7">
        <v>8270</v>
      </c>
      <c r="M131" s="7">
        <v>158</v>
      </c>
      <c r="N131" s="7">
        <v>3</v>
      </c>
      <c r="O131" s="7">
        <v>5579</v>
      </c>
      <c r="P131" s="7">
        <v>6463</v>
      </c>
      <c r="Q131" s="7">
        <v>5479</v>
      </c>
      <c r="R131" s="7">
        <v>3808</v>
      </c>
      <c r="S131" s="7">
        <v>7383</v>
      </c>
      <c r="T131" s="7">
        <v>7820</v>
      </c>
      <c r="U131" s="7">
        <v>36</v>
      </c>
      <c r="V131" s="7">
        <v>8911</v>
      </c>
      <c r="W131" s="7">
        <v>2413</v>
      </c>
      <c r="X131" s="7">
        <v>9576</v>
      </c>
      <c r="Y131" s="7">
        <v>2996</v>
      </c>
      <c r="Z131" s="7">
        <v>3838</v>
      </c>
      <c r="AA131" s="7">
        <v>8463</v>
      </c>
      <c r="AB131" s="7">
        <v>5137</v>
      </c>
      <c r="AC131" s="7">
        <v>8005</v>
      </c>
      <c r="AD131" s="7">
        <v>2130</v>
      </c>
      <c r="AE131" s="7">
        <v>7917</v>
      </c>
      <c r="AF131" s="7">
        <v>4214</v>
      </c>
      <c r="AG131" s="7">
        <v>7704</v>
      </c>
      <c r="AH131" s="7">
        <v>2949</v>
      </c>
      <c r="AI131" s="7">
        <v>3712</v>
      </c>
      <c r="AJ131" s="7">
        <v>9394</v>
      </c>
      <c r="AK131" s="7">
        <v>9775</v>
      </c>
      <c r="AL131" s="7">
        <v>9729</v>
      </c>
      <c r="AM131" s="7">
        <v>6430</v>
      </c>
      <c r="AN131" s="7">
        <v>4965</v>
      </c>
      <c r="AO131" s="7">
        <v>7367</v>
      </c>
      <c r="AQ131" s="7"/>
      <c r="AR131" s="7"/>
    </row>
    <row r="132" spans="1:44" x14ac:dyDescent="0.25">
      <c r="A132" s="6" t="s">
        <v>129</v>
      </c>
      <c r="B132" s="6" t="s">
        <v>204</v>
      </c>
      <c r="C132" s="6" t="s">
        <v>80</v>
      </c>
      <c r="D132" s="6" t="s">
        <v>254</v>
      </c>
      <c r="E132" s="6" t="s">
        <v>36</v>
      </c>
      <c r="F132" s="7">
        <v>3259</v>
      </c>
      <c r="G132" s="7">
        <v>2990</v>
      </c>
      <c r="H132" s="7">
        <v>4615</v>
      </c>
      <c r="I132" s="7">
        <v>6709</v>
      </c>
      <c r="J132" s="7">
        <v>4086</v>
      </c>
      <c r="K132" s="7">
        <v>5232</v>
      </c>
      <c r="L132" s="7">
        <v>4781</v>
      </c>
      <c r="M132" s="7">
        <v>4214</v>
      </c>
      <c r="N132" s="7">
        <v>7998</v>
      </c>
      <c r="O132" s="7">
        <v>5700</v>
      </c>
      <c r="P132" s="7">
        <v>2904</v>
      </c>
      <c r="Q132" s="7">
        <v>6893</v>
      </c>
      <c r="R132" s="7">
        <v>8414</v>
      </c>
      <c r="S132" s="7">
        <v>4373</v>
      </c>
      <c r="T132" s="7">
        <v>7222</v>
      </c>
      <c r="U132" s="7">
        <v>748</v>
      </c>
      <c r="V132" s="7">
        <v>6370</v>
      </c>
      <c r="W132" s="7">
        <v>2484</v>
      </c>
      <c r="X132" s="7">
        <v>634</v>
      </c>
      <c r="Y132" s="7">
        <v>6474</v>
      </c>
      <c r="Z132" s="7">
        <v>5185</v>
      </c>
      <c r="AA132" s="7">
        <v>8984</v>
      </c>
      <c r="AB132" s="7">
        <v>1573</v>
      </c>
      <c r="AC132" s="7">
        <v>4544</v>
      </c>
      <c r="AD132" s="7">
        <v>5660</v>
      </c>
      <c r="AE132" s="7">
        <v>3396</v>
      </c>
      <c r="AF132" s="7">
        <v>3654</v>
      </c>
      <c r="AG132" s="7">
        <v>4193</v>
      </c>
      <c r="AH132" s="7">
        <v>930</v>
      </c>
      <c r="AI132" s="7">
        <v>9981</v>
      </c>
      <c r="AJ132" s="7">
        <v>9851</v>
      </c>
      <c r="AK132" s="7">
        <v>6085</v>
      </c>
      <c r="AL132" s="7">
        <v>1103</v>
      </c>
      <c r="AM132" s="7">
        <v>8988</v>
      </c>
      <c r="AN132" s="7">
        <v>1402</v>
      </c>
      <c r="AO132" s="7">
        <v>459</v>
      </c>
      <c r="AQ132" s="7"/>
      <c r="AR132" s="7"/>
    </row>
    <row r="133" spans="1:44" x14ac:dyDescent="0.25">
      <c r="A133" s="6" t="s">
        <v>129</v>
      </c>
      <c r="B133" s="6" t="s">
        <v>204</v>
      </c>
      <c r="C133" s="6" t="s">
        <v>32</v>
      </c>
      <c r="D133" s="6" t="s">
        <v>256</v>
      </c>
      <c r="E133" s="6" t="s">
        <v>33</v>
      </c>
      <c r="F133" s="7">
        <v>2651</v>
      </c>
      <c r="G133" s="7">
        <v>2767</v>
      </c>
      <c r="H133" s="7">
        <v>7864</v>
      </c>
      <c r="I133" s="7">
        <v>6422</v>
      </c>
      <c r="J133" s="7">
        <v>5302</v>
      </c>
      <c r="K133" s="7">
        <v>7006</v>
      </c>
      <c r="L133" s="7">
        <v>541</v>
      </c>
      <c r="M133" s="7">
        <v>9788</v>
      </c>
      <c r="N133" s="7">
        <v>1604</v>
      </c>
      <c r="O133" s="7">
        <v>6515</v>
      </c>
      <c r="P133" s="7">
        <v>397</v>
      </c>
      <c r="Q133" s="7">
        <v>9662</v>
      </c>
      <c r="R133" s="7">
        <v>1771</v>
      </c>
      <c r="S133" s="7">
        <v>2422</v>
      </c>
      <c r="T133" s="7">
        <v>3387</v>
      </c>
      <c r="U133" s="7">
        <v>2271</v>
      </c>
      <c r="V133" s="7">
        <v>8531</v>
      </c>
      <c r="W133" s="7">
        <v>929</v>
      </c>
      <c r="X133" s="7">
        <v>120</v>
      </c>
      <c r="Y133" s="7">
        <v>803</v>
      </c>
      <c r="Z133" s="7">
        <v>3071</v>
      </c>
      <c r="AA133" s="7">
        <v>1152</v>
      </c>
      <c r="AB133" s="7">
        <v>3596</v>
      </c>
      <c r="AC133" s="7">
        <v>623</v>
      </c>
      <c r="AD133" s="7">
        <v>4534</v>
      </c>
      <c r="AE133" s="7">
        <v>8642</v>
      </c>
      <c r="AF133" s="7">
        <v>1607</v>
      </c>
      <c r="AG133" s="7">
        <v>6182</v>
      </c>
      <c r="AH133" s="7">
        <v>7823</v>
      </c>
      <c r="AI133" s="7">
        <v>718</v>
      </c>
      <c r="AJ133" s="7">
        <v>107</v>
      </c>
      <c r="AK133" s="7">
        <v>9514</v>
      </c>
      <c r="AL133" s="7">
        <v>4480</v>
      </c>
      <c r="AM133" s="7">
        <v>9798</v>
      </c>
      <c r="AN133" s="7">
        <v>1617</v>
      </c>
      <c r="AO133" s="7">
        <v>6401</v>
      </c>
      <c r="AQ133" s="7"/>
      <c r="AR133" s="7"/>
    </row>
    <row r="134" spans="1:44" x14ac:dyDescent="0.25">
      <c r="A134" s="6" t="s">
        <v>123</v>
      </c>
      <c r="B134" s="6" t="s">
        <v>205</v>
      </c>
      <c r="C134" s="6" t="s">
        <v>61</v>
      </c>
      <c r="D134" s="6" t="s">
        <v>243</v>
      </c>
      <c r="E134" s="6" t="s">
        <v>59</v>
      </c>
      <c r="F134" s="7">
        <v>2334</v>
      </c>
      <c r="G134" s="7">
        <v>7705</v>
      </c>
      <c r="H134" s="7">
        <v>4930</v>
      </c>
      <c r="I134" s="7">
        <v>9269</v>
      </c>
      <c r="J134" s="7">
        <v>2547</v>
      </c>
      <c r="K134" s="7">
        <v>5345</v>
      </c>
      <c r="L134" s="7">
        <v>6257</v>
      </c>
      <c r="M134" s="7">
        <v>4041</v>
      </c>
      <c r="N134" s="7">
        <v>8055</v>
      </c>
      <c r="O134" s="7">
        <v>1352</v>
      </c>
      <c r="P134" s="7">
        <v>9040</v>
      </c>
      <c r="Q134" s="7">
        <v>8540</v>
      </c>
      <c r="R134" s="7">
        <v>6734</v>
      </c>
      <c r="S134" s="7">
        <v>7724</v>
      </c>
      <c r="T134" s="7">
        <v>5409</v>
      </c>
      <c r="U134" s="7">
        <v>9333</v>
      </c>
      <c r="V134" s="7">
        <v>9429</v>
      </c>
      <c r="W134" s="7">
        <v>6429</v>
      </c>
      <c r="X134" s="7">
        <v>8545</v>
      </c>
      <c r="Y134" s="7">
        <v>120</v>
      </c>
      <c r="Z134" s="7">
        <v>4140</v>
      </c>
      <c r="AA134" s="7">
        <v>8401</v>
      </c>
      <c r="AB134" s="7">
        <v>5540</v>
      </c>
      <c r="AC134" s="7">
        <v>5172</v>
      </c>
      <c r="AD134" s="7">
        <v>5336</v>
      </c>
      <c r="AE134" s="7">
        <v>8763</v>
      </c>
      <c r="AF134" s="7">
        <v>5905</v>
      </c>
      <c r="AG134" s="7">
        <v>7811</v>
      </c>
      <c r="AH134" s="7">
        <v>9310</v>
      </c>
      <c r="AI134" s="7">
        <v>9601</v>
      </c>
      <c r="AJ134" s="7">
        <v>8629</v>
      </c>
      <c r="AK134" s="7">
        <v>9415</v>
      </c>
      <c r="AL134" s="7">
        <v>5577</v>
      </c>
      <c r="AM134" s="7">
        <v>8805</v>
      </c>
      <c r="AN134" s="7">
        <v>7809</v>
      </c>
      <c r="AO134" s="7">
        <v>2343</v>
      </c>
      <c r="AQ134" s="7"/>
      <c r="AR134" s="7"/>
    </row>
    <row r="135" spans="1:44" x14ac:dyDescent="0.25">
      <c r="A135" s="6" t="s">
        <v>123</v>
      </c>
      <c r="B135" s="6" t="s">
        <v>205</v>
      </c>
      <c r="C135" s="6" t="s">
        <v>83</v>
      </c>
      <c r="D135" s="6" t="s">
        <v>267</v>
      </c>
      <c r="E135" s="6" t="s">
        <v>33</v>
      </c>
      <c r="F135" s="7">
        <v>5615</v>
      </c>
      <c r="G135" s="7">
        <v>7045</v>
      </c>
      <c r="H135" s="7">
        <v>1354</v>
      </c>
      <c r="I135" s="7">
        <v>5388</v>
      </c>
      <c r="J135" s="7">
        <v>7125</v>
      </c>
      <c r="K135" s="7">
        <v>6244</v>
      </c>
      <c r="L135" s="7">
        <v>9639</v>
      </c>
      <c r="M135" s="7">
        <v>6592</v>
      </c>
      <c r="N135" s="7">
        <v>773</v>
      </c>
      <c r="O135" s="7">
        <v>4759</v>
      </c>
      <c r="P135" s="7">
        <v>888</v>
      </c>
      <c r="Q135" s="7">
        <v>391</v>
      </c>
      <c r="R135" s="7">
        <v>9109</v>
      </c>
      <c r="S135" s="7">
        <v>9665</v>
      </c>
      <c r="T135" s="7">
        <v>9095</v>
      </c>
      <c r="U135" s="7">
        <v>7418</v>
      </c>
      <c r="V135" s="7">
        <v>1329</v>
      </c>
      <c r="W135" s="7">
        <v>8870</v>
      </c>
      <c r="X135" s="7">
        <v>5487</v>
      </c>
      <c r="Y135" s="7">
        <v>2418</v>
      </c>
      <c r="Z135" s="7">
        <v>6943</v>
      </c>
      <c r="AA135" s="7">
        <v>8520</v>
      </c>
      <c r="AB135" s="7">
        <v>2198</v>
      </c>
      <c r="AC135" s="7">
        <v>1930</v>
      </c>
      <c r="AD135" s="7">
        <v>2483</v>
      </c>
      <c r="AE135" s="7">
        <v>2940</v>
      </c>
      <c r="AF135" s="7">
        <v>7639</v>
      </c>
      <c r="AG135" s="7">
        <v>2372</v>
      </c>
      <c r="AH135" s="7">
        <v>7220</v>
      </c>
      <c r="AI135" s="7">
        <v>5893</v>
      </c>
      <c r="AJ135" s="7">
        <v>8493</v>
      </c>
      <c r="AK135" s="7">
        <v>9460</v>
      </c>
      <c r="AL135" s="7">
        <v>8646</v>
      </c>
      <c r="AM135" s="7">
        <v>8777</v>
      </c>
      <c r="AN135" s="7">
        <v>9459</v>
      </c>
      <c r="AO135" s="7">
        <v>9984</v>
      </c>
      <c r="AQ135" s="7"/>
      <c r="AR135" s="7"/>
    </row>
    <row r="136" spans="1:44" x14ac:dyDescent="0.25">
      <c r="A136" s="6" t="s">
        <v>117</v>
      </c>
      <c r="B136" s="6" t="s">
        <v>206</v>
      </c>
      <c r="C136" s="6" t="s">
        <v>118</v>
      </c>
      <c r="D136" s="6" t="s">
        <v>241</v>
      </c>
      <c r="E136" s="6" t="s">
        <v>36</v>
      </c>
      <c r="F136" s="7">
        <v>2233</v>
      </c>
      <c r="G136" s="7">
        <v>5109</v>
      </c>
      <c r="H136" s="7">
        <v>1316</v>
      </c>
      <c r="I136" s="7">
        <v>7858</v>
      </c>
      <c r="J136" s="7">
        <v>7186</v>
      </c>
      <c r="K136" s="7">
        <v>1932</v>
      </c>
      <c r="L136" s="7">
        <v>6471</v>
      </c>
      <c r="M136" s="7">
        <v>2719</v>
      </c>
      <c r="N136" s="7">
        <v>6762</v>
      </c>
      <c r="O136" s="7">
        <v>1831</v>
      </c>
      <c r="P136" s="7">
        <v>3596</v>
      </c>
      <c r="Q136" s="7">
        <v>9748</v>
      </c>
      <c r="R136" s="7">
        <v>5511</v>
      </c>
      <c r="S136" s="7">
        <v>6543</v>
      </c>
      <c r="T136" s="7">
        <v>1664</v>
      </c>
      <c r="U136" s="7">
        <v>6935</v>
      </c>
      <c r="V136" s="7">
        <v>6405</v>
      </c>
      <c r="W136" s="7">
        <v>8117</v>
      </c>
      <c r="X136" s="7">
        <v>6630</v>
      </c>
      <c r="Y136" s="7">
        <v>4120</v>
      </c>
      <c r="Z136" s="7">
        <v>7226</v>
      </c>
      <c r="AA136" s="7">
        <v>6623</v>
      </c>
      <c r="AB136" s="7">
        <v>9269</v>
      </c>
      <c r="AC136" s="7">
        <v>5096</v>
      </c>
      <c r="AD136" s="7">
        <v>4274</v>
      </c>
      <c r="AE136" s="7">
        <v>7729</v>
      </c>
      <c r="AF136" s="7">
        <v>5813</v>
      </c>
      <c r="AG136" s="7">
        <v>3737</v>
      </c>
      <c r="AH136" s="7">
        <v>3595</v>
      </c>
      <c r="AI136" s="7">
        <v>992</v>
      </c>
      <c r="AJ136" s="7">
        <v>1305</v>
      </c>
      <c r="AK136" s="7">
        <v>2817</v>
      </c>
      <c r="AL136" s="7">
        <v>5171</v>
      </c>
      <c r="AM136" s="7">
        <v>4548</v>
      </c>
      <c r="AN136" s="7">
        <v>6098</v>
      </c>
      <c r="AO136" s="7">
        <v>9008</v>
      </c>
      <c r="AQ136" s="7"/>
      <c r="AR136" s="7"/>
    </row>
    <row r="137" spans="1:44" x14ac:dyDescent="0.25">
      <c r="A137" s="6" t="s">
        <v>117</v>
      </c>
      <c r="B137" s="6" t="s">
        <v>206</v>
      </c>
      <c r="C137" s="6" t="s">
        <v>86</v>
      </c>
      <c r="D137" s="6" t="s">
        <v>246</v>
      </c>
      <c r="E137" s="6" t="s">
        <v>29</v>
      </c>
      <c r="F137" s="7">
        <v>884</v>
      </c>
      <c r="G137" s="7">
        <v>2505</v>
      </c>
      <c r="H137" s="7">
        <v>4966</v>
      </c>
      <c r="I137" s="7">
        <v>5063</v>
      </c>
      <c r="J137" s="7">
        <v>3315</v>
      </c>
      <c r="K137" s="7">
        <v>2149</v>
      </c>
      <c r="L137" s="7">
        <v>5570</v>
      </c>
      <c r="M137" s="7">
        <v>5865</v>
      </c>
      <c r="N137" s="7">
        <v>307</v>
      </c>
      <c r="O137" s="7">
        <v>3974</v>
      </c>
      <c r="P137" s="7">
        <v>2748</v>
      </c>
      <c r="Q137" s="7">
        <v>2141</v>
      </c>
      <c r="R137" s="7">
        <v>1495</v>
      </c>
      <c r="S137" s="7">
        <v>8346</v>
      </c>
      <c r="T137" s="7">
        <v>6198</v>
      </c>
      <c r="U137" s="7">
        <v>6969</v>
      </c>
      <c r="V137" s="7">
        <v>4055</v>
      </c>
      <c r="W137" s="7">
        <v>6116</v>
      </c>
      <c r="X137" s="7">
        <v>5089</v>
      </c>
      <c r="Y137" s="7">
        <v>3577</v>
      </c>
      <c r="Z137" s="7">
        <v>9041</v>
      </c>
      <c r="AA137" s="7">
        <v>5723</v>
      </c>
      <c r="AB137" s="7">
        <v>9380</v>
      </c>
      <c r="AC137" s="7">
        <v>6462</v>
      </c>
      <c r="AD137" s="7">
        <v>5404</v>
      </c>
      <c r="AE137" s="7">
        <v>8726</v>
      </c>
      <c r="AF137" s="7">
        <v>9679</v>
      </c>
      <c r="AG137" s="7">
        <v>3431</v>
      </c>
      <c r="AH137" s="7">
        <v>1461</v>
      </c>
      <c r="AI137" s="7">
        <v>7132</v>
      </c>
      <c r="AJ137" s="7">
        <v>1016</v>
      </c>
      <c r="AK137" s="7">
        <v>6441</v>
      </c>
      <c r="AL137" s="7">
        <v>1674</v>
      </c>
      <c r="AM137" s="7">
        <v>8398</v>
      </c>
      <c r="AN137" s="7">
        <v>1878</v>
      </c>
      <c r="AO137" s="7">
        <v>4119</v>
      </c>
      <c r="AQ137" s="7"/>
      <c r="AR137" s="7"/>
    </row>
    <row r="138" spans="1:44" x14ac:dyDescent="0.25">
      <c r="A138" s="6" t="s">
        <v>117</v>
      </c>
      <c r="B138" s="6" t="s">
        <v>206</v>
      </c>
      <c r="C138" s="6" t="s">
        <v>124</v>
      </c>
      <c r="D138" s="6" t="s">
        <v>274</v>
      </c>
      <c r="E138" s="6" t="s">
        <v>46</v>
      </c>
      <c r="F138" s="7">
        <v>2425</v>
      </c>
      <c r="G138" s="7">
        <v>308</v>
      </c>
      <c r="H138" s="7">
        <v>2515</v>
      </c>
      <c r="I138" s="7">
        <v>1740</v>
      </c>
      <c r="J138" s="7">
        <v>5843</v>
      </c>
      <c r="K138" s="7">
        <v>804</v>
      </c>
      <c r="L138" s="7">
        <v>3557</v>
      </c>
      <c r="M138" s="7">
        <v>6497</v>
      </c>
      <c r="N138" s="7">
        <v>3342</v>
      </c>
      <c r="O138" s="7">
        <v>8267</v>
      </c>
      <c r="P138" s="7">
        <v>7102</v>
      </c>
      <c r="Q138" s="7">
        <v>5404</v>
      </c>
      <c r="R138" s="7">
        <v>3697</v>
      </c>
      <c r="S138" s="7">
        <v>287</v>
      </c>
      <c r="T138" s="7">
        <v>1061</v>
      </c>
      <c r="U138" s="7">
        <v>924</v>
      </c>
      <c r="V138" s="7">
        <v>4603</v>
      </c>
      <c r="W138" s="7">
        <v>5298</v>
      </c>
      <c r="X138" s="7">
        <v>5596</v>
      </c>
      <c r="Y138" s="7">
        <v>9575</v>
      </c>
      <c r="Z138" s="7">
        <v>5953</v>
      </c>
      <c r="AA138" s="7">
        <v>163</v>
      </c>
      <c r="AB138" s="7">
        <v>7513</v>
      </c>
      <c r="AC138" s="7">
        <v>5441</v>
      </c>
      <c r="AD138" s="7">
        <v>6342</v>
      </c>
      <c r="AE138" s="7">
        <v>6383</v>
      </c>
      <c r="AF138" s="7">
        <v>2727</v>
      </c>
      <c r="AG138" s="7">
        <v>7323</v>
      </c>
      <c r="AH138" s="7">
        <v>5627</v>
      </c>
      <c r="AI138" s="7">
        <v>4349</v>
      </c>
      <c r="AJ138" s="7">
        <v>5300</v>
      </c>
      <c r="AK138" s="7">
        <v>265</v>
      </c>
      <c r="AL138" s="7">
        <v>6708</v>
      </c>
      <c r="AM138" s="7">
        <v>8427</v>
      </c>
      <c r="AN138" s="7">
        <v>8874</v>
      </c>
      <c r="AO138" s="7">
        <v>4430</v>
      </c>
      <c r="AQ138" s="7"/>
      <c r="AR138" s="7"/>
    </row>
    <row r="139" spans="1:44" x14ac:dyDescent="0.25">
      <c r="A139" s="6" t="s">
        <v>57</v>
      </c>
      <c r="B139" s="6" t="s">
        <v>207</v>
      </c>
      <c r="C139" s="6" t="s">
        <v>104</v>
      </c>
      <c r="D139" s="6" t="s">
        <v>237</v>
      </c>
      <c r="E139" s="6" t="s">
        <v>75</v>
      </c>
      <c r="F139" s="7">
        <v>2548</v>
      </c>
      <c r="G139" s="7">
        <v>6376</v>
      </c>
      <c r="H139" s="7">
        <v>59</v>
      </c>
      <c r="I139" s="7">
        <v>6866</v>
      </c>
      <c r="J139" s="7">
        <v>9464</v>
      </c>
      <c r="K139" s="7">
        <v>1529</v>
      </c>
      <c r="L139" s="7">
        <v>5624</v>
      </c>
      <c r="M139" s="7">
        <v>639</v>
      </c>
      <c r="N139" s="7">
        <v>5971</v>
      </c>
      <c r="O139" s="7">
        <v>4610</v>
      </c>
      <c r="P139" s="7">
        <v>896</v>
      </c>
      <c r="Q139" s="7">
        <v>7188</v>
      </c>
      <c r="R139" s="7">
        <v>9123</v>
      </c>
      <c r="S139" s="7">
        <v>9001</v>
      </c>
      <c r="T139" s="7">
        <v>4638</v>
      </c>
      <c r="U139" s="7">
        <v>95</v>
      </c>
      <c r="V139" s="7">
        <v>5886</v>
      </c>
      <c r="W139" s="7">
        <v>7876</v>
      </c>
      <c r="X139" s="7">
        <v>3249</v>
      </c>
      <c r="Y139" s="7">
        <v>9875</v>
      </c>
      <c r="Z139" s="7">
        <v>3986</v>
      </c>
      <c r="AA139" s="7">
        <v>127</v>
      </c>
      <c r="AB139" s="7">
        <v>8899</v>
      </c>
      <c r="AC139" s="7">
        <v>6124</v>
      </c>
      <c r="AD139" s="7">
        <v>4114</v>
      </c>
      <c r="AE139" s="7">
        <v>9625</v>
      </c>
      <c r="AF139" s="7">
        <v>3187</v>
      </c>
      <c r="AG139" s="7">
        <v>6202</v>
      </c>
      <c r="AH139" s="7">
        <v>4896</v>
      </c>
      <c r="AI139" s="7">
        <v>7740</v>
      </c>
      <c r="AJ139" s="7">
        <v>3806</v>
      </c>
      <c r="AK139" s="7">
        <v>7353</v>
      </c>
      <c r="AL139" s="7">
        <v>9597</v>
      </c>
      <c r="AM139" s="7">
        <v>5158</v>
      </c>
      <c r="AN139" s="7">
        <v>3028</v>
      </c>
      <c r="AO139" s="7">
        <v>6970</v>
      </c>
      <c r="AQ139" s="7"/>
      <c r="AR139" s="7"/>
    </row>
    <row r="140" spans="1:44" x14ac:dyDescent="0.25">
      <c r="A140" s="6" t="s">
        <v>57</v>
      </c>
      <c r="B140" s="6" t="s">
        <v>207</v>
      </c>
      <c r="C140" s="6" t="s">
        <v>80</v>
      </c>
      <c r="D140" s="6" t="s">
        <v>254</v>
      </c>
      <c r="E140" s="6" t="s">
        <v>36</v>
      </c>
      <c r="F140" s="7">
        <v>3263</v>
      </c>
      <c r="G140" s="7">
        <v>4566</v>
      </c>
      <c r="H140" s="7">
        <v>3810</v>
      </c>
      <c r="I140" s="7">
        <v>2134</v>
      </c>
      <c r="J140" s="7">
        <v>3376</v>
      </c>
      <c r="K140" s="7">
        <v>8519</v>
      </c>
      <c r="L140" s="7">
        <v>610</v>
      </c>
      <c r="M140" s="7">
        <v>8678</v>
      </c>
      <c r="N140" s="7">
        <v>7567</v>
      </c>
      <c r="O140" s="7">
        <v>1142</v>
      </c>
      <c r="P140" s="7">
        <v>7724</v>
      </c>
      <c r="Q140" s="7">
        <v>5894</v>
      </c>
      <c r="R140" s="7">
        <v>5581</v>
      </c>
      <c r="S140" s="7">
        <v>5146</v>
      </c>
      <c r="T140" s="7">
        <v>3450</v>
      </c>
      <c r="U140" s="7">
        <v>9185</v>
      </c>
      <c r="V140" s="7">
        <v>3052</v>
      </c>
      <c r="W140" s="7">
        <v>8306</v>
      </c>
      <c r="X140" s="7">
        <v>5524</v>
      </c>
      <c r="Y140" s="7">
        <v>8784</v>
      </c>
      <c r="Z140" s="7">
        <v>5905</v>
      </c>
      <c r="AA140" s="7">
        <v>823</v>
      </c>
      <c r="AB140" s="7">
        <v>6797</v>
      </c>
      <c r="AC140" s="7">
        <v>4826</v>
      </c>
      <c r="AD140" s="7">
        <v>368</v>
      </c>
      <c r="AE140" s="7">
        <v>3759</v>
      </c>
      <c r="AF140" s="7">
        <v>3013</v>
      </c>
      <c r="AG140" s="7">
        <v>3353</v>
      </c>
      <c r="AH140" s="7">
        <v>1216</v>
      </c>
      <c r="AI140" s="7">
        <v>5283</v>
      </c>
      <c r="AJ140" s="7">
        <v>7361</v>
      </c>
      <c r="AK140" s="7">
        <v>7479</v>
      </c>
      <c r="AL140" s="7">
        <v>6574</v>
      </c>
      <c r="AM140" s="7">
        <v>4473</v>
      </c>
      <c r="AN140" s="7">
        <v>3890</v>
      </c>
      <c r="AO140" s="7">
        <v>3377</v>
      </c>
      <c r="AQ140" s="7"/>
      <c r="AR140" s="7"/>
    </row>
    <row r="141" spans="1:44" x14ac:dyDescent="0.25">
      <c r="A141" s="6" t="s">
        <v>57</v>
      </c>
      <c r="B141" s="6" t="s">
        <v>207</v>
      </c>
      <c r="C141" s="6" t="s">
        <v>66</v>
      </c>
      <c r="D141" s="6" t="s">
        <v>258</v>
      </c>
      <c r="E141" s="6" t="s">
        <v>29</v>
      </c>
      <c r="F141" s="7">
        <v>6408</v>
      </c>
      <c r="G141" s="7">
        <v>7864</v>
      </c>
      <c r="H141" s="7">
        <v>4358</v>
      </c>
      <c r="I141" s="7">
        <v>518</v>
      </c>
      <c r="J141" s="7">
        <v>5655</v>
      </c>
      <c r="K141" s="7">
        <v>9323</v>
      </c>
      <c r="L141" s="7">
        <v>1620</v>
      </c>
      <c r="M141" s="7">
        <v>3395</v>
      </c>
      <c r="N141" s="7">
        <v>1482</v>
      </c>
      <c r="O141" s="7">
        <v>4603</v>
      </c>
      <c r="P141" s="7">
        <v>1358</v>
      </c>
      <c r="Q141" s="7">
        <v>9352</v>
      </c>
      <c r="R141" s="7">
        <v>5273</v>
      </c>
      <c r="S141" s="7">
        <v>5984</v>
      </c>
      <c r="T141" s="7">
        <v>7196</v>
      </c>
      <c r="U141" s="7">
        <v>6524</v>
      </c>
      <c r="V141" s="7">
        <v>4864</v>
      </c>
      <c r="W141" s="7">
        <v>2463</v>
      </c>
      <c r="X141" s="7">
        <v>7149</v>
      </c>
      <c r="Y141" s="7">
        <v>7020</v>
      </c>
      <c r="Z141" s="7">
        <v>9609</v>
      </c>
      <c r="AA141" s="7">
        <v>704</v>
      </c>
      <c r="AB141" s="7">
        <v>9690</v>
      </c>
      <c r="AC141" s="7">
        <v>4901</v>
      </c>
      <c r="AD141" s="7">
        <v>7617</v>
      </c>
      <c r="AE141" s="7">
        <v>2452</v>
      </c>
      <c r="AF141" s="7">
        <v>7384</v>
      </c>
      <c r="AG141" s="7">
        <v>2851</v>
      </c>
      <c r="AH141" s="7">
        <v>1141</v>
      </c>
      <c r="AI141" s="7">
        <v>9584</v>
      </c>
      <c r="AJ141" s="7">
        <v>2290</v>
      </c>
      <c r="AK141" s="7">
        <v>875</v>
      </c>
      <c r="AL141" s="7">
        <v>5204</v>
      </c>
      <c r="AM141" s="7">
        <v>2636</v>
      </c>
      <c r="AN141" s="7">
        <v>1314</v>
      </c>
      <c r="AO141" s="7">
        <v>777</v>
      </c>
      <c r="AQ141" s="7"/>
      <c r="AR141" s="7"/>
    </row>
    <row r="142" spans="1:44" x14ac:dyDescent="0.25">
      <c r="A142" s="6" t="s">
        <v>57</v>
      </c>
      <c r="B142" s="6" t="s">
        <v>207</v>
      </c>
      <c r="C142" s="6" t="s">
        <v>86</v>
      </c>
      <c r="D142" s="6" t="s">
        <v>246</v>
      </c>
      <c r="E142" s="6" t="s">
        <v>29</v>
      </c>
      <c r="F142" s="7">
        <v>3226</v>
      </c>
      <c r="G142" s="7">
        <v>2095</v>
      </c>
      <c r="H142" s="7">
        <v>4031</v>
      </c>
      <c r="I142" s="7">
        <v>1328</v>
      </c>
      <c r="J142" s="7">
        <v>5092</v>
      </c>
      <c r="K142" s="7">
        <v>1533</v>
      </c>
      <c r="L142" s="7">
        <v>2134</v>
      </c>
      <c r="M142" s="7">
        <v>4137</v>
      </c>
      <c r="N142" s="7">
        <v>4596</v>
      </c>
      <c r="O142" s="7">
        <v>6519</v>
      </c>
      <c r="P142" s="7">
        <v>4566</v>
      </c>
      <c r="Q142" s="7">
        <v>5385</v>
      </c>
      <c r="R142" s="7">
        <v>8179</v>
      </c>
      <c r="S142" s="7">
        <v>4157</v>
      </c>
      <c r="T142" s="7">
        <v>320</v>
      </c>
      <c r="U142" s="7">
        <v>9532</v>
      </c>
      <c r="V142" s="7">
        <v>5215</v>
      </c>
      <c r="W142" s="7">
        <v>4928</v>
      </c>
      <c r="X142" s="7">
        <v>1241</v>
      </c>
      <c r="Y142" s="7">
        <v>8071</v>
      </c>
      <c r="Z142" s="7">
        <v>3335</v>
      </c>
      <c r="AA142" s="7">
        <v>6394</v>
      </c>
      <c r="AB142" s="7">
        <v>4939</v>
      </c>
      <c r="AC142" s="7">
        <v>5521</v>
      </c>
      <c r="AD142" s="7">
        <v>9858</v>
      </c>
      <c r="AE142" s="7">
        <v>3543</v>
      </c>
      <c r="AF142" s="7">
        <v>8004</v>
      </c>
      <c r="AG142" s="7">
        <v>1311</v>
      </c>
      <c r="AH142" s="7">
        <v>4315</v>
      </c>
      <c r="AI142" s="7">
        <v>3371</v>
      </c>
      <c r="AJ142" s="7">
        <v>6393</v>
      </c>
      <c r="AK142" s="7">
        <v>170</v>
      </c>
      <c r="AL142" s="7">
        <v>4361</v>
      </c>
      <c r="AM142" s="7">
        <v>6274</v>
      </c>
      <c r="AN142" s="7">
        <v>8808</v>
      </c>
      <c r="AO142" s="7">
        <v>8275</v>
      </c>
      <c r="AQ142" s="7"/>
      <c r="AR142" s="7"/>
    </row>
    <row r="143" spans="1:44" x14ac:dyDescent="0.25">
      <c r="A143" s="6" t="s">
        <v>57</v>
      </c>
      <c r="B143" s="6" t="s">
        <v>207</v>
      </c>
      <c r="C143" s="6" t="s">
        <v>38</v>
      </c>
      <c r="D143" s="6" t="s">
        <v>245</v>
      </c>
      <c r="E143" s="6" t="s">
        <v>36</v>
      </c>
      <c r="F143" s="7">
        <v>7247</v>
      </c>
      <c r="G143" s="7">
        <v>7437</v>
      </c>
      <c r="H143" s="7">
        <v>9150</v>
      </c>
      <c r="I143" s="7">
        <v>1219</v>
      </c>
      <c r="J143" s="7">
        <v>7058</v>
      </c>
      <c r="K143" s="7">
        <v>546</v>
      </c>
      <c r="L143" s="7">
        <v>7366</v>
      </c>
      <c r="M143" s="7">
        <v>6029</v>
      </c>
      <c r="N143" s="7">
        <v>133</v>
      </c>
      <c r="O143" s="7">
        <v>7874</v>
      </c>
      <c r="P143" s="7">
        <v>121</v>
      </c>
      <c r="Q143" s="7">
        <v>1618</v>
      </c>
      <c r="R143" s="7">
        <v>9144</v>
      </c>
      <c r="S143" s="7">
        <v>5045</v>
      </c>
      <c r="T143" s="7">
        <v>1214</v>
      </c>
      <c r="U143" s="7">
        <v>6390</v>
      </c>
      <c r="V143" s="7">
        <v>3368</v>
      </c>
      <c r="W143" s="7">
        <v>4910</v>
      </c>
      <c r="X143" s="7">
        <v>1573</v>
      </c>
      <c r="Y143" s="7">
        <v>1487</v>
      </c>
      <c r="Z143" s="7">
        <v>3706</v>
      </c>
      <c r="AA143" s="7">
        <v>4121</v>
      </c>
      <c r="AB143" s="7">
        <v>9484</v>
      </c>
      <c r="AC143" s="7">
        <v>1344</v>
      </c>
      <c r="AD143" s="7">
        <v>446</v>
      </c>
      <c r="AE143" s="7">
        <v>8467</v>
      </c>
      <c r="AF143" s="7">
        <v>4958</v>
      </c>
      <c r="AG143" s="7">
        <v>1221</v>
      </c>
      <c r="AH143" s="7">
        <v>4982</v>
      </c>
      <c r="AI143" s="7">
        <v>8103</v>
      </c>
      <c r="AJ143" s="7">
        <v>4880</v>
      </c>
      <c r="AK143" s="7">
        <v>2050</v>
      </c>
      <c r="AL143" s="7">
        <v>8534</v>
      </c>
      <c r="AM143" s="7">
        <v>1571</v>
      </c>
      <c r="AN143" s="7">
        <v>6250</v>
      </c>
      <c r="AO143" s="7">
        <v>4516</v>
      </c>
      <c r="AQ143" s="7"/>
      <c r="AR143" s="7"/>
    </row>
    <row r="144" spans="1:44" x14ac:dyDescent="0.25">
      <c r="A144" s="6" t="s">
        <v>57</v>
      </c>
      <c r="B144" s="6" t="s">
        <v>207</v>
      </c>
      <c r="C144" s="6" t="s">
        <v>58</v>
      </c>
      <c r="D144" s="6" t="s">
        <v>229</v>
      </c>
      <c r="E144" s="6" t="s">
        <v>59</v>
      </c>
      <c r="F144" s="7">
        <v>1667</v>
      </c>
      <c r="G144" s="7">
        <v>6038</v>
      </c>
      <c r="H144" s="7">
        <v>739</v>
      </c>
      <c r="I144" s="7">
        <v>1256</v>
      </c>
      <c r="J144" s="7">
        <v>776</v>
      </c>
      <c r="K144" s="7">
        <v>7202</v>
      </c>
      <c r="L144" s="7">
        <v>3496</v>
      </c>
      <c r="M144" s="7">
        <v>7224</v>
      </c>
      <c r="N144" s="7">
        <v>4879</v>
      </c>
      <c r="O144" s="7">
        <v>3236</v>
      </c>
      <c r="P144" s="7">
        <v>7852</v>
      </c>
      <c r="Q144" s="7">
        <v>8915</v>
      </c>
      <c r="R144" s="7">
        <v>1598</v>
      </c>
      <c r="S144" s="7">
        <v>745</v>
      </c>
      <c r="T144" s="7">
        <v>85</v>
      </c>
      <c r="U144" s="7">
        <v>5347</v>
      </c>
      <c r="V144" s="7">
        <v>859</v>
      </c>
      <c r="W144" s="7">
        <v>7505</v>
      </c>
      <c r="X144" s="7">
        <v>2549</v>
      </c>
      <c r="Y144" s="7">
        <v>7028</v>
      </c>
      <c r="Z144" s="7">
        <v>6229</v>
      </c>
      <c r="AA144" s="7">
        <v>7705</v>
      </c>
      <c r="AB144" s="7">
        <v>2571</v>
      </c>
      <c r="AC144" s="7">
        <v>9032</v>
      </c>
      <c r="AD144" s="7">
        <v>5391</v>
      </c>
      <c r="AE144" s="7">
        <v>1184</v>
      </c>
      <c r="AF144" s="7">
        <v>4261</v>
      </c>
      <c r="AG144" s="7">
        <v>4940</v>
      </c>
      <c r="AH144" s="7">
        <v>1565</v>
      </c>
      <c r="AI144" s="7">
        <v>633</v>
      </c>
      <c r="AJ144" s="7">
        <v>3169</v>
      </c>
      <c r="AK144" s="7">
        <v>8496</v>
      </c>
      <c r="AL144" s="7">
        <v>8378</v>
      </c>
      <c r="AM144" s="7">
        <v>521</v>
      </c>
      <c r="AN144" s="7">
        <v>1894</v>
      </c>
      <c r="AO144" s="7">
        <v>5598</v>
      </c>
      <c r="AQ144" s="7"/>
      <c r="AR144" s="7"/>
    </row>
    <row r="145" spans="1:44" x14ac:dyDescent="0.25">
      <c r="A145" s="6" t="s">
        <v>109</v>
      </c>
      <c r="B145" s="6" t="s">
        <v>208</v>
      </c>
      <c r="C145" s="6" t="s">
        <v>113</v>
      </c>
      <c r="D145" s="6" t="s">
        <v>275</v>
      </c>
      <c r="E145" s="6" t="s">
        <v>26</v>
      </c>
      <c r="F145" s="7">
        <v>5242</v>
      </c>
      <c r="G145" s="7">
        <v>442</v>
      </c>
      <c r="H145" s="7">
        <v>8654</v>
      </c>
      <c r="I145" s="7">
        <v>4419</v>
      </c>
      <c r="J145" s="7">
        <v>7449</v>
      </c>
      <c r="K145" s="7">
        <v>6907</v>
      </c>
      <c r="L145" s="7">
        <v>7548</v>
      </c>
      <c r="M145" s="7">
        <v>6560</v>
      </c>
      <c r="N145" s="7">
        <v>1667</v>
      </c>
      <c r="O145" s="7">
        <v>2946</v>
      </c>
      <c r="P145" s="7">
        <v>2902</v>
      </c>
      <c r="Q145" s="7">
        <v>5103</v>
      </c>
      <c r="R145" s="7">
        <v>455</v>
      </c>
      <c r="S145" s="7">
        <v>9914</v>
      </c>
      <c r="T145" s="7">
        <v>3224</v>
      </c>
      <c r="U145" s="7">
        <v>4588</v>
      </c>
      <c r="V145" s="7">
        <v>4739</v>
      </c>
      <c r="W145" s="7">
        <v>1912</v>
      </c>
      <c r="X145" s="7">
        <v>6097</v>
      </c>
      <c r="Y145" s="7">
        <v>6122</v>
      </c>
      <c r="Z145" s="7">
        <v>5401</v>
      </c>
      <c r="AA145" s="7">
        <v>9508</v>
      </c>
      <c r="AB145" s="7">
        <v>6360</v>
      </c>
      <c r="AC145" s="7">
        <v>7150</v>
      </c>
      <c r="AD145" s="7">
        <v>1714</v>
      </c>
      <c r="AE145" s="7">
        <v>9828</v>
      </c>
      <c r="AF145" s="7">
        <v>9111</v>
      </c>
      <c r="AG145" s="7">
        <v>6982</v>
      </c>
      <c r="AH145" s="7">
        <v>4064</v>
      </c>
      <c r="AI145" s="7">
        <v>8697</v>
      </c>
      <c r="AJ145" s="7">
        <v>6062</v>
      </c>
      <c r="AK145" s="7">
        <v>65</v>
      </c>
      <c r="AL145" s="7">
        <v>6100</v>
      </c>
      <c r="AM145" s="7">
        <v>8580</v>
      </c>
      <c r="AN145" s="7">
        <v>3216</v>
      </c>
      <c r="AO145" s="7">
        <v>5066</v>
      </c>
      <c r="AQ145" s="7"/>
      <c r="AR145" s="7"/>
    </row>
    <row r="146" spans="1:44" x14ac:dyDescent="0.25">
      <c r="A146" s="6" t="s">
        <v>109</v>
      </c>
      <c r="B146" s="6" t="s">
        <v>208</v>
      </c>
      <c r="C146" s="6" t="s">
        <v>93</v>
      </c>
      <c r="D146" s="6" t="s">
        <v>238</v>
      </c>
      <c r="E146" s="6" t="s">
        <v>70</v>
      </c>
      <c r="F146" s="7">
        <v>4979</v>
      </c>
      <c r="G146" s="7">
        <v>9390</v>
      </c>
      <c r="H146" s="7">
        <v>4640</v>
      </c>
      <c r="I146" s="7">
        <v>610</v>
      </c>
      <c r="J146" s="7">
        <v>1578</v>
      </c>
      <c r="K146" s="7">
        <v>5683</v>
      </c>
      <c r="L146" s="7">
        <v>1211</v>
      </c>
      <c r="M146" s="7">
        <v>2382</v>
      </c>
      <c r="N146" s="7">
        <v>420</v>
      </c>
      <c r="O146" s="7">
        <v>4576</v>
      </c>
      <c r="P146" s="7">
        <v>6311</v>
      </c>
      <c r="Q146" s="7">
        <v>2461</v>
      </c>
      <c r="R146" s="7">
        <v>7151</v>
      </c>
      <c r="S146" s="7">
        <v>3429</v>
      </c>
      <c r="T146" s="7">
        <v>8900</v>
      </c>
      <c r="U146" s="7">
        <v>2689</v>
      </c>
      <c r="V146" s="7">
        <v>7693</v>
      </c>
      <c r="W146" s="7">
        <v>9333</v>
      </c>
      <c r="X146" s="7">
        <v>8934</v>
      </c>
      <c r="Y146" s="7">
        <v>3098</v>
      </c>
      <c r="Z146" s="7">
        <v>975</v>
      </c>
      <c r="AA146" s="7">
        <v>8752</v>
      </c>
      <c r="AB146" s="7">
        <v>9460</v>
      </c>
      <c r="AC146" s="7">
        <v>7341</v>
      </c>
      <c r="AD146" s="7">
        <v>6789</v>
      </c>
      <c r="AE146" s="7">
        <v>3433</v>
      </c>
      <c r="AF146" s="7">
        <v>9423</v>
      </c>
      <c r="AG146" s="7">
        <v>411</v>
      </c>
      <c r="AH146" s="7">
        <v>3862</v>
      </c>
      <c r="AI146" s="7">
        <v>6869</v>
      </c>
      <c r="AJ146" s="7">
        <v>5377</v>
      </c>
      <c r="AK146" s="7">
        <v>7942</v>
      </c>
      <c r="AL146" s="7">
        <v>2568</v>
      </c>
      <c r="AM146" s="7">
        <v>7113</v>
      </c>
      <c r="AN146" s="7">
        <v>4152</v>
      </c>
      <c r="AO146" s="7">
        <v>6890</v>
      </c>
      <c r="AQ146" s="7"/>
      <c r="AR146" s="7"/>
    </row>
    <row r="147" spans="1:44" x14ac:dyDescent="0.25">
      <c r="A147" s="6" t="s">
        <v>109</v>
      </c>
      <c r="B147" s="6" t="s">
        <v>208</v>
      </c>
      <c r="C147" s="6" t="s">
        <v>113</v>
      </c>
      <c r="D147" s="6" t="s">
        <v>275</v>
      </c>
      <c r="E147" s="6" t="s">
        <v>26</v>
      </c>
      <c r="F147" s="7">
        <v>1033</v>
      </c>
      <c r="G147" s="7">
        <v>513</v>
      </c>
      <c r="H147" s="7">
        <v>4769</v>
      </c>
      <c r="I147" s="7">
        <v>8679</v>
      </c>
      <c r="J147" s="7">
        <v>1744</v>
      </c>
      <c r="K147" s="7">
        <v>5355</v>
      </c>
      <c r="L147" s="7">
        <v>1611</v>
      </c>
      <c r="M147" s="7">
        <v>8406</v>
      </c>
      <c r="N147" s="7">
        <v>8038</v>
      </c>
      <c r="O147" s="7">
        <v>9755</v>
      </c>
      <c r="P147" s="7">
        <v>424</v>
      </c>
      <c r="Q147" s="7">
        <v>387</v>
      </c>
      <c r="R147" s="7">
        <v>4266</v>
      </c>
      <c r="S147" s="7">
        <v>410</v>
      </c>
      <c r="T147" s="7">
        <v>8629</v>
      </c>
      <c r="U147" s="7">
        <v>9484</v>
      </c>
      <c r="V147" s="7">
        <v>2287</v>
      </c>
      <c r="W147" s="7">
        <v>6351</v>
      </c>
      <c r="X147" s="7">
        <v>4741</v>
      </c>
      <c r="Y147" s="7">
        <v>7867</v>
      </c>
      <c r="Z147" s="7">
        <v>5534</v>
      </c>
      <c r="AA147" s="7">
        <v>9559</v>
      </c>
      <c r="AB147" s="7">
        <v>1094</v>
      </c>
      <c r="AC147" s="7">
        <v>5972</v>
      </c>
      <c r="AD147" s="7">
        <v>8226</v>
      </c>
      <c r="AE147" s="7">
        <v>1153</v>
      </c>
      <c r="AF147" s="7">
        <v>3885</v>
      </c>
      <c r="AG147" s="7">
        <v>9900</v>
      </c>
      <c r="AH147" s="7">
        <v>6379</v>
      </c>
      <c r="AI147" s="7">
        <v>5193</v>
      </c>
      <c r="AJ147" s="7">
        <v>6562</v>
      </c>
      <c r="AK147" s="7">
        <v>161</v>
      </c>
      <c r="AL147" s="7">
        <v>5855</v>
      </c>
      <c r="AM147" s="7">
        <v>7959</v>
      </c>
      <c r="AN147" s="7">
        <v>3933</v>
      </c>
      <c r="AO147" s="7">
        <v>1077</v>
      </c>
      <c r="AQ147" s="7"/>
      <c r="AR147" s="7"/>
    </row>
    <row r="148" spans="1:44" x14ac:dyDescent="0.25">
      <c r="A148" s="6" t="s">
        <v>109</v>
      </c>
      <c r="B148" s="6" t="s">
        <v>208</v>
      </c>
      <c r="C148" s="6" t="s">
        <v>61</v>
      </c>
      <c r="D148" s="6" t="s">
        <v>243</v>
      </c>
      <c r="E148" s="6" t="s">
        <v>59</v>
      </c>
      <c r="F148" s="7">
        <v>2817</v>
      </c>
      <c r="G148" s="7">
        <v>6070</v>
      </c>
      <c r="H148" s="7">
        <v>8157</v>
      </c>
      <c r="I148" s="7">
        <v>1729</v>
      </c>
      <c r="J148" s="7">
        <v>3482</v>
      </c>
      <c r="K148" s="7">
        <v>6895</v>
      </c>
      <c r="L148" s="7">
        <v>8270</v>
      </c>
      <c r="M148" s="7">
        <v>8630</v>
      </c>
      <c r="N148" s="7">
        <v>5297</v>
      </c>
      <c r="O148" s="7">
        <v>7567</v>
      </c>
      <c r="P148" s="7">
        <v>1543</v>
      </c>
      <c r="Q148" s="7">
        <v>5401</v>
      </c>
      <c r="R148" s="7">
        <v>728</v>
      </c>
      <c r="S148" s="7">
        <v>2116</v>
      </c>
      <c r="T148" s="7">
        <v>4438</v>
      </c>
      <c r="U148" s="7">
        <v>298</v>
      </c>
      <c r="V148" s="7">
        <v>338</v>
      </c>
      <c r="W148" s="7">
        <v>2780</v>
      </c>
      <c r="X148" s="7">
        <v>2433</v>
      </c>
      <c r="Y148" s="7">
        <v>3466</v>
      </c>
      <c r="Z148" s="7">
        <v>551</v>
      </c>
      <c r="AA148" s="7">
        <v>9313</v>
      </c>
      <c r="AB148" s="7">
        <v>2811</v>
      </c>
      <c r="AC148" s="7">
        <v>4583</v>
      </c>
      <c r="AD148" s="7">
        <v>3253</v>
      </c>
      <c r="AE148" s="7">
        <v>8756</v>
      </c>
      <c r="AF148" s="7">
        <v>2035</v>
      </c>
      <c r="AG148" s="7">
        <v>7229</v>
      </c>
      <c r="AH148" s="7">
        <v>7558</v>
      </c>
      <c r="AI148" s="7">
        <v>9338</v>
      </c>
      <c r="AJ148" s="7">
        <v>4718</v>
      </c>
      <c r="AK148" s="7">
        <v>1606</v>
      </c>
      <c r="AL148" s="7">
        <v>6871</v>
      </c>
      <c r="AM148" s="7">
        <v>5174</v>
      </c>
      <c r="AN148" s="7">
        <v>5586</v>
      </c>
      <c r="AO148" s="7">
        <v>6796</v>
      </c>
      <c r="AQ148" s="7"/>
      <c r="AR148" s="7"/>
    </row>
    <row r="149" spans="1:44" x14ac:dyDescent="0.25">
      <c r="A149" s="6" t="s">
        <v>94</v>
      </c>
      <c r="B149" s="6" t="s">
        <v>209</v>
      </c>
      <c r="C149" s="6" t="s">
        <v>82</v>
      </c>
      <c r="D149" s="6" t="s">
        <v>261</v>
      </c>
      <c r="E149" s="6" t="s">
        <v>36</v>
      </c>
      <c r="F149" s="7">
        <v>164</v>
      </c>
      <c r="G149" s="7">
        <v>764</v>
      </c>
      <c r="H149" s="7">
        <v>6835</v>
      </c>
      <c r="I149" s="7">
        <v>8005</v>
      </c>
      <c r="J149" s="7">
        <v>9163</v>
      </c>
      <c r="K149" s="7">
        <v>3802</v>
      </c>
      <c r="L149" s="7">
        <v>9613</v>
      </c>
      <c r="M149" s="7">
        <v>6949</v>
      </c>
      <c r="N149" s="7">
        <v>7818</v>
      </c>
      <c r="O149" s="7">
        <v>4649</v>
      </c>
      <c r="P149" s="7">
        <v>1308</v>
      </c>
      <c r="Q149" s="7">
        <v>8909</v>
      </c>
      <c r="R149" s="7">
        <v>8162</v>
      </c>
      <c r="S149" s="7">
        <v>6185</v>
      </c>
      <c r="T149" s="7">
        <v>4806</v>
      </c>
      <c r="U149" s="7">
        <v>8895</v>
      </c>
      <c r="V149" s="7">
        <v>508</v>
      </c>
      <c r="W149" s="7">
        <v>3235</v>
      </c>
      <c r="X149" s="7">
        <v>6710</v>
      </c>
      <c r="Y149" s="7">
        <v>7838</v>
      </c>
      <c r="Z149" s="7">
        <v>9875</v>
      </c>
      <c r="AA149" s="7">
        <v>5381</v>
      </c>
      <c r="AB149" s="7">
        <v>9654</v>
      </c>
      <c r="AC149" s="7">
        <v>3830</v>
      </c>
      <c r="AD149" s="7">
        <v>8905</v>
      </c>
      <c r="AE149" s="7">
        <v>5764</v>
      </c>
      <c r="AF149" s="7">
        <v>8842</v>
      </c>
      <c r="AG149" s="7">
        <v>8455</v>
      </c>
      <c r="AH149" s="7">
        <v>5757</v>
      </c>
      <c r="AI149" s="7">
        <v>9961</v>
      </c>
      <c r="AJ149" s="7">
        <v>2482</v>
      </c>
      <c r="AK149" s="7">
        <v>5363</v>
      </c>
      <c r="AL149" s="7">
        <v>5849</v>
      </c>
      <c r="AM149" s="7">
        <v>7178</v>
      </c>
      <c r="AN149" s="7">
        <v>6198</v>
      </c>
      <c r="AO149" s="7">
        <v>932</v>
      </c>
      <c r="AQ149" s="7"/>
      <c r="AR149" s="7"/>
    </row>
    <row r="150" spans="1:44" x14ac:dyDescent="0.25">
      <c r="A150" s="6" t="s">
        <v>94</v>
      </c>
      <c r="B150" s="6" t="s">
        <v>209</v>
      </c>
      <c r="C150" s="6" t="s">
        <v>95</v>
      </c>
      <c r="D150" s="6" t="s">
        <v>259</v>
      </c>
      <c r="E150" s="6" t="s">
        <v>75</v>
      </c>
      <c r="F150" s="7">
        <v>5257</v>
      </c>
      <c r="G150" s="7">
        <v>9698</v>
      </c>
      <c r="H150" s="7">
        <v>8532</v>
      </c>
      <c r="I150" s="7">
        <v>5843</v>
      </c>
      <c r="J150" s="7">
        <v>4758</v>
      </c>
      <c r="K150" s="7">
        <v>7111</v>
      </c>
      <c r="L150" s="7">
        <v>6734</v>
      </c>
      <c r="M150" s="7">
        <v>6449</v>
      </c>
      <c r="N150" s="7">
        <v>9531</v>
      </c>
      <c r="O150" s="7">
        <v>2960</v>
      </c>
      <c r="P150" s="7">
        <v>9036</v>
      </c>
      <c r="Q150" s="7">
        <v>7189</v>
      </c>
      <c r="R150" s="7">
        <v>6194</v>
      </c>
      <c r="S150" s="7">
        <v>9624</v>
      </c>
      <c r="T150" s="7">
        <v>491</v>
      </c>
      <c r="U150" s="7">
        <v>67</v>
      </c>
      <c r="V150" s="7">
        <v>795</v>
      </c>
      <c r="W150" s="7">
        <v>1185</v>
      </c>
      <c r="X150" s="7">
        <v>7007</v>
      </c>
      <c r="Y150" s="7">
        <v>200</v>
      </c>
      <c r="Z150" s="7">
        <v>6865</v>
      </c>
      <c r="AA150" s="7">
        <v>930</v>
      </c>
      <c r="AB150" s="7">
        <v>7184</v>
      </c>
      <c r="AC150" s="7">
        <v>1473</v>
      </c>
      <c r="AD150" s="7">
        <v>7152</v>
      </c>
      <c r="AE150" s="7">
        <v>4350</v>
      </c>
      <c r="AF150" s="7">
        <v>4400</v>
      </c>
      <c r="AG150" s="7">
        <v>1665</v>
      </c>
      <c r="AH150" s="7">
        <v>7710</v>
      </c>
      <c r="AI150" s="7">
        <v>6</v>
      </c>
      <c r="AJ150" s="7">
        <v>3458</v>
      </c>
      <c r="AK150" s="7">
        <v>7414</v>
      </c>
      <c r="AL150" s="7">
        <v>5878</v>
      </c>
      <c r="AM150" s="7">
        <v>6268</v>
      </c>
      <c r="AN150" s="7">
        <v>588</v>
      </c>
      <c r="AO150" s="7">
        <v>4492</v>
      </c>
      <c r="AQ150" s="7"/>
      <c r="AR150" s="7"/>
    </row>
    <row r="151" spans="1:44" x14ac:dyDescent="0.25">
      <c r="A151" s="6" t="s">
        <v>94</v>
      </c>
      <c r="B151" s="6" t="s">
        <v>209</v>
      </c>
      <c r="C151" s="6" t="s">
        <v>100</v>
      </c>
      <c r="D151" s="6" t="s">
        <v>269</v>
      </c>
      <c r="E151" s="6" t="s">
        <v>33</v>
      </c>
      <c r="F151" s="7">
        <v>1687</v>
      </c>
      <c r="G151" s="7">
        <v>73</v>
      </c>
      <c r="H151" s="7">
        <v>9024</v>
      </c>
      <c r="I151" s="7">
        <v>2865</v>
      </c>
      <c r="J151" s="7">
        <v>8797</v>
      </c>
      <c r="K151" s="7">
        <v>5990</v>
      </c>
      <c r="L151" s="7">
        <v>4171</v>
      </c>
      <c r="M151" s="7">
        <v>3230</v>
      </c>
      <c r="N151" s="7">
        <v>9362</v>
      </c>
      <c r="O151" s="7">
        <v>2924</v>
      </c>
      <c r="P151" s="7">
        <v>5243</v>
      </c>
      <c r="Q151" s="7">
        <v>482</v>
      </c>
      <c r="R151" s="7">
        <v>3686</v>
      </c>
      <c r="S151" s="7">
        <v>7111</v>
      </c>
      <c r="T151" s="7">
        <v>9594</v>
      </c>
      <c r="U151" s="7">
        <v>921</v>
      </c>
      <c r="V151" s="7">
        <v>5435</v>
      </c>
      <c r="W151" s="7">
        <v>6982</v>
      </c>
      <c r="X151" s="7">
        <v>9881</v>
      </c>
      <c r="Y151" s="7">
        <v>8254</v>
      </c>
      <c r="Z151" s="7">
        <v>1090</v>
      </c>
      <c r="AA151" s="7">
        <v>7509</v>
      </c>
      <c r="AB151" s="7">
        <v>4505</v>
      </c>
      <c r="AC151" s="7">
        <v>8085</v>
      </c>
      <c r="AD151" s="7">
        <v>1441</v>
      </c>
      <c r="AE151" s="7">
        <v>4960</v>
      </c>
      <c r="AF151" s="7">
        <v>1081</v>
      </c>
      <c r="AG151" s="7">
        <v>3866</v>
      </c>
      <c r="AH151" s="7">
        <v>7385</v>
      </c>
      <c r="AI151" s="7">
        <v>9303</v>
      </c>
      <c r="AJ151" s="7">
        <v>477</v>
      </c>
      <c r="AK151" s="7">
        <v>1943</v>
      </c>
      <c r="AL151" s="7">
        <v>401</v>
      </c>
      <c r="AM151" s="7">
        <v>2290</v>
      </c>
      <c r="AN151" s="7">
        <v>7027</v>
      </c>
      <c r="AO151" s="7">
        <v>4106</v>
      </c>
      <c r="AQ151" s="7"/>
      <c r="AR151" s="7"/>
    </row>
    <row r="152" spans="1:44" x14ac:dyDescent="0.25">
      <c r="A152" s="6" t="s">
        <v>94</v>
      </c>
      <c r="B152" s="6" t="s">
        <v>209</v>
      </c>
      <c r="C152" s="6" t="s">
        <v>58</v>
      </c>
      <c r="D152" s="6" t="s">
        <v>229</v>
      </c>
      <c r="E152" s="6" t="s">
        <v>59</v>
      </c>
      <c r="F152" s="7">
        <v>435</v>
      </c>
      <c r="G152" s="7">
        <v>2622</v>
      </c>
      <c r="H152" s="7">
        <v>1677</v>
      </c>
      <c r="I152" s="7">
        <v>1378</v>
      </c>
      <c r="J152" s="7">
        <v>9719</v>
      </c>
      <c r="K152" s="7">
        <v>2353</v>
      </c>
      <c r="L152" s="7">
        <v>4516</v>
      </c>
      <c r="M152" s="7">
        <v>113</v>
      </c>
      <c r="N152" s="7">
        <v>3319</v>
      </c>
      <c r="O152" s="7">
        <v>665</v>
      </c>
      <c r="P152" s="7">
        <v>5883</v>
      </c>
      <c r="Q152" s="7">
        <v>2675</v>
      </c>
      <c r="R152" s="7">
        <v>7306</v>
      </c>
      <c r="S152" s="7">
        <v>2758</v>
      </c>
      <c r="T152" s="7">
        <v>9239</v>
      </c>
      <c r="U152" s="7">
        <v>274</v>
      </c>
      <c r="V152" s="7">
        <v>707</v>
      </c>
      <c r="W152" s="7">
        <v>8368</v>
      </c>
      <c r="X152" s="7">
        <v>3</v>
      </c>
      <c r="Y152" s="7">
        <v>5542</v>
      </c>
      <c r="Z152" s="7">
        <v>7189</v>
      </c>
      <c r="AA152" s="7">
        <v>9541</v>
      </c>
      <c r="AB152" s="7">
        <v>9066</v>
      </c>
      <c r="AC152" s="7">
        <v>8496</v>
      </c>
      <c r="AD152" s="7">
        <v>6828</v>
      </c>
      <c r="AE152" s="7">
        <v>7192</v>
      </c>
      <c r="AF152" s="7">
        <v>8303</v>
      </c>
      <c r="AG152" s="7">
        <v>2847</v>
      </c>
      <c r="AH152" s="7">
        <v>6710</v>
      </c>
      <c r="AI152" s="7">
        <v>1055</v>
      </c>
      <c r="AJ152" s="7">
        <v>4465</v>
      </c>
      <c r="AK152" s="7">
        <v>2196</v>
      </c>
      <c r="AL152" s="7">
        <v>1704</v>
      </c>
      <c r="AM152" s="7">
        <v>5974</v>
      </c>
      <c r="AN152" s="7">
        <v>4428</v>
      </c>
      <c r="AO152" s="7">
        <v>9973</v>
      </c>
      <c r="AQ152" s="7"/>
      <c r="AR152" s="7"/>
    </row>
    <row r="153" spans="1:44" x14ac:dyDescent="0.25">
      <c r="A153" s="6" t="s">
        <v>94</v>
      </c>
      <c r="B153" s="6" t="s">
        <v>209</v>
      </c>
      <c r="C153" s="6" t="s">
        <v>64</v>
      </c>
      <c r="D153" s="6" t="s">
        <v>251</v>
      </c>
      <c r="E153" s="6" t="s">
        <v>46</v>
      </c>
      <c r="F153" s="7">
        <v>5420</v>
      </c>
      <c r="G153" s="7">
        <v>8717</v>
      </c>
      <c r="H153" s="7">
        <v>3736</v>
      </c>
      <c r="I153" s="7">
        <v>1937</v>
      </c>
      <c r="J153" s="7">
        <v>3325</v>
      </c>
      <c r="K153" s="7">
        <v>2607</v>
      </c>
      <c r="L153" s="7">
        <v>404</v>
      </c>
      <c r="M153" s="7">
        <v>8160</v>
      </c>
      <c r="N153" s="7">
        <v>5565</v>
      </c>
      <c r="O153" s="7">
        <v>1067</v>
      </c>
      <c r="P153" s="7">
        <v>5556</v>
      </c>
      <c r="Q153" s="7">
        <v>1976</v>
      </c>
      <c r="R153" s="7">
        <v>1655</v>
      </c>
      <c r="S153" s="7">
        <v>3667</v>
      </c>
      <c r="T153" s="7">
        <v>6475</v>
      </c>
      <c r="U153" s="7">
        <v>2701</v>
      </c>
      <c r="V153" s="7">
        <v>5274</v>
      </c>
      <c r="W153" s="7">
        <v>3615</v>
      </c>
      <c r="X153" s="7">
        <v>4425</v>
      </c>
      <c r="Y153" s="7">
        <v>3592</v>
      </c>
      <c r="Z153" s="7">
        <v>4017</v>
      </c>
      <c r="AA153" s="7">
        <v>7576</v>
      </c>
      <c r="AB153" s="7">
        <v>4615</v>
      </c>
      <c r="AC153" s="7">
        <v>9797</v>
      </c>
      <c r="AD153" s="7">
        <v>4064</v>
      </c>
      <c r="AE153" s="7">
        <v>6174</v>
      </c>
      <c r="AF153" s="7">
        <v>2516</v>
      </c>
      <c r="AG153" s="7">
        <v>9364</v>
      </c>
      <c r="AH153" s="7">
        <v>7933</v>
      </c>
      <c r="AI153" s="7">
        <v>963</v>
      </c>
      <c r="AJ153" s="7">
        <v>2254</v>
      </c>
      <c r="AK153" s="7">
        <v>5785</v>
      </c>
      <c r="AL153" s="7">
        <v>9750</v>
      </c>
      <c r="AM153" s="7">
        <v>1634</v>
      </c>
      <c r="AN153" s="7">
        <v>1844</v>
      </c>
      <c r="AO153" s="7">
        <v>6788</v>
      </c>
      <c r="AQ153" s="7"/>
      <c r="AR153" s="7"/>
    </row>
    <row r="154" spans="1:44" x14ac:dyDescent="0.25">
      <c r="A154" s="6" t="s">
        <v>52</v>
      </c>
      <c r="B154" s="6" t="s">
        <v>210</v>
      </c>
      <c r="C154" s="6" t="s">
        <v>113</v>
      </c>
      <c r="D154" s="6" t="s">
        <v>275</v>
      </c>
      <c r="E154" s="6" t="s">
        <v>26</v>
      </c>
      <c r="F154" s="7">
        <v>3207</v>
      </c>
      <c r="G154" s="7">
        <v>9532</v>
      </c>
      <c r="H154" s="7">
        <v>4836</v>
      </c>
      <c r="I154" s="7">
        <v>9751</v>
      </c>
      <c r="J154" s="7">
        <v>6570</v>
      </c>
      <c r="K154" s="7">
        <v>2009</v>
      </c>
      <c r="L154" s="7">
        <v>4321</v>
      </c>
      <c r="M154" s="7">
        <v>6932</v>
      </c>
      <c r="N154" s="7">
        <v>4537</v>
      </c>
      <c r="O154" s="7">
        <v>1374</v>
      </c>
      <c r="P154" s="7">
        <v>4050</v>
      </c>
      <c r="Q154" s="7">
        <v>3379</v>
      </c>
      <c r="R154" s="7">
        <v>8535</v>
      </c>
      <c r="S154" s="7">
        <v>9657</v>
      </c>
      <c r="T154" s="7">
        <v>13</v>
      </c>
      <c r="U154" s="7">
        <v>266</v>
      </c>
      <c r="V154" s="7">
        <v>8483</v>
      </c>
      <c r="W154" s="7">
        <v>7036</v>
      </c>
      <c r="X154" s="7">
        <v>7601</v>
      </c>
      <c r="Y154" s="7">
        <v>5509</v>
      </c>
      <c r="Z154" s="7">
        <v>8359</v>
      </c>
      <c r="AA154" s="7">
        <v>8762</v>
      </c>
      <c r="AB154" s="7">
        <v>141</v>
      </c>
      <c r="AC154" s="7">
        <v>8306</v>
      </c>
      <c r="AD154" s="7">
        <v>1285</v>
      </c>
      <c r="AE154" s="7">
        <v>2752</v>
      </c>
      <c r="AF154" s="7">
        <v>9388</v>
      </c>
      <c r="AG154" s="7">
        <v>2255</v>
      </c>
      <c r="AH154" s="7">
        <v>6308</v>
      </c>
      <c r="AI154" s="7">
        <v>1234</v>
      </c>
      <c r="AJ154" s="7">
        <v>7330</v>
      </c>
      <c r="AK154" s="7">
        <v>9015</v>
      </c>
      <c r="AL154" s="7">
        <v>89</v>
      </c>
      <c r="AM154" s="7">
        <v>5505</v>
      </c>
      <c r="AN154" s="7">
        <v>7849</v>
      </c>
      <c r="AO154" s="7">
        <v>3494</v>
      </c>
      <c r="AQ154" s="7"/>
      <c r="AR154" s="7"/>
    </row>
    <row r="155" spans="1:44" x14ac:dyDescent="0.25">
      <c r="A155" s="6" t="s">
        <v>52</v>
      </c>
      <c r="B155" s="6" t="s">
        <v>210</v>
      </c>
      <c r="C155" s="6" t="s">
        <v>42</v>
      </c>
      <c r="D155" s="6" t="s">
        <v>263</v>
      </c>
      <c r="E155" s="6" t="s">
        <v>43</v>
      </c>
      <c r="F155" s="7">
        <v>5330</v>
      </c>
      <c r="G155" s="7">
        <v>1549</v>
      </c>
      <c r="H155" s="7">
        <v>8080</v>
      </c>
      <c r="I155" s="7">
        <v>4016</v>
      </c>
      <c r="J155" s="7">
        <v>9441</v>
      </c>
      <c r="K155" s="7">
        <v>2045</v>
      </c>
      <c r="L155" s="7">
        <v>3904</v>
      </c>
      <c r="M155" s="7">
        <v>3886</v>
      </c>
      <c r="N155" s="7">
        <v>1269</v>
      </c>
      <c r="O155" s="7">
        <v>9984</v>
      </c>
      <c r="P155" s="7">
        <v>5184</v>
      </c>
      <c r="Q155" s="7">
        <v>9615</v>
      </c>
      <c r="R155" s="7">
        <v>6407</v>
      </c>
      <c r="S155" s="7">
        <v>2561</v>
      </c>
      <c r="T155" s="7">
        <v>6808</v>
      </c>
      <c r="U155" s="7">
        <v>2594</v>
      </c>
      <c r="V155" s="7">
        <v>5713</v>
      </c>
      <c r="W155" s="7">
        <v>33</v>
      </c>
      <c r="X155" s="7">
        <v>5963</v>
      </c>
      <c r="Y155" s="7">
        <v>8046</v>
      </c>
      <c r="Z155" s="7">
        <v>4112</v>
      </c>
      <c r="AA155" s="7">
        <v>8403</v>
      </c>
      <c r="AB155" s="7">
        <v>9353</v>
      </c>
      <c r="AC155" s="7">
        <v>8379</v>
      </c>
      <c r="AD155" s="7">
        <v>1231</v>
      </c>
      <c r="AE155" s="7">
        <v>2265</v>
      </c>
      <c r="AF155" s="7">
        <v>7304</v>
      </c>
      <c r="AG155" s="7">
        <v>13</v>
      </c>
      <c r="AH155" s="7">
        <v>2725</v>
      </c>
      <c r="AI155" s="7">
        <v>5539</v>
      </c>
      <c r="AJ155" s="7">
        <v>941</v>
      </c>
      <c r="AK155" s="7">
        <v>6650</v>
      </c>
      <c r="AL155" s="7">
        <v>143</v>
      </c>
      <c r="AM155" s="7">
        <v>5912</v>
      </c>
      <c r="AN155" s="7">
        <v>6085</v>
      </c>
      <c r="AO155" s="7">
        <v>1191</v>
      </c>
      <c r="AQ155" s="7"/>
      <c r="AR155" s="7"/>
    </row>
    <row r="156" spans="1:44" x14ac:dyDescent="0.25">
      <c r="A156" s="6" t="s">
        <v>150</v>
      </c>
      <c r="B156" s="6" t="s">
        <v>211</v>
      </c>
      <c r="C156" s="6" t="s">
        <v>90</v>
      </c>
      <c r="D156" s="6" t="s">
        <v>236</v>
      </c>
      <c r="E156" s="6" t="s">
        <v>75</v>
      </c>
      <c r="F156" s="7">
        <v>4859</v>
      </c>
      <c r="G156" s="7">
        <v>4398</v>
      </c>
      <c r="H156" s="7">
        <v>5461</v>
      </c>
      <c r="I156" s="7">
        <v>1341</v>
      </c>
      <c r="J156" s="7">
        <v>2497</v>
      </c>
      <c r="K156" s="7">
        <v>6265</v>
      </c>
      <c r="L156" s="7">
        <v>4388</v>
      </c>
      <c r="M156" s="7">
        <v>7225</v>
      </c>
      <c r="N156" s="7">
        <v>9630</v>
      </c>
      <c r="O156" s="7">
        <v>8698</v>
      </c>
      <c r="P156" s="7">
        <v>3199</v>
      </c>
      <c r="Q156" s="7">
        <v>1801</v>
      </c>
      <c r="R156" s="7">
        <v>6522</v>
      </c>
      <c r="S156" s="7">
        <v>9258</v>
      </c>
      <c r="T156" s="7">
        <v>732</v>
      </c>
      <c r="U156" s="7">
        <v>8261</v>
      </c>
      <c r="V156" s="7">
        <v>6889</v>
      </c>
      <c r="W156" s="7">
        <v>1184</v>
      </c>
      <c r="X156" s="7">
        <v>2094</v>
      </c>
      <c r="Y156" s="7">
        <v>6050</v>
      </c>
      <c r="Z156" s="7">
        <v>7505</v>
      </c>
      <c r="AA156" s="7">
        <v>4917</v>
      </c>
      <c r="AB156" s="7">
        <v>8266</v>
      </c>
      <c r="AC156" s="7">
        <v>1759</v>
      </c>
      <c r="AD156" s="7">
        <v>996</v>
      </c>
      <c r="AE156" s="7">
        <v>5393</v>
      </c>
      <c r="AF156" s="7">
        <v>228</v>
      </c>
      <c r="AG156" s="7">
        <v>5764</v>
      </c>
      <c r="AH156" s="7">
        <v>6589</v>
      </c>
      <c r="AI156" s="7">
        <v>1713</v>
      </c>
      <c r="AJ156" s="7">
        <v>936</v>
      </c>
      <c r="AK156" s="7">
        <v>3219</v>
      </c>
      <c r="AL156" s="7">
        <v>3172</v>
      </c>
      <c r="AM156" s="7">
        <v>1330</v>
      </c>
      <c r="AN156" s="7">
        <v>9737</v>
      </c>
      <c r="AO156" s="7">
        <v>8401</v>
      </c>
      <c r="AQ156" s="7"/>
      <c r="AR156" s="7"/>
    </row>
    <row r="157" spans="1:44" x14ac:dyDescent="0.25">
      <c r="A157" s="6" t="s">
        <v>108</v>
      </c>
      <c r="B157" s="6" t="s">
        <v>212</v>
      </c>
      <c r="C157" s="6" t="s">
        <v>90</v>
      </c>
      <c r="D157" s="6" t="s">
        <v>236</v>
      </c>
      <c r="E157" s="6" t="s">
        <v>75</v>
      </c>
      <c r="F157" s="7">
        <v>1434</v>
      </c>
      <c r="G157" s="7">
        <v>6564</v>
      </c>
      <c r="H157" s="7">
        <v>8830</v>
      </c>
      <c r="I157" s="7">
        <v>7977</v>
      </c>
      <c r="J157" s="7">
        <v>4722</v>
      </c>
      <c r="K157" s="7">
        <v>1866</v>
      </c>
      <c r="L157" s="7">
        <v>3170</v>
      </c>
      <c r="M157" s="7">
        <v>2101</v>
      </c>
      <c r="N157" s="7">
        <v>9777</v>
      </c>
      <c r="O157" s="7">
        <v>7246</v>
      </c>
      <c r="P157" s="7">
        <v>5950</v>
      </c>
      <c r="Q157" s="7">
        <v>2243</v>
      </c>
      <c r="R157" s="7">
        <v>9978</v>
      </c>
      <c r="S157" s="7">
        <v>1114</v>
      </c>
      <c r="T157" s="7">
        <v>6871</v>
      </c>
      <c r="U157" s="7">
        <v>5802</v>
      </c>
      <c r="V157" s="7">
        <v>4619</v>
      </c>
      <c r="W157" s="7">
        <v>5714</v>
      </c>
      <c r="X157" s="7">
        <v>1839</v>
      </c>
      <c r="Y157" s="7">
        <v>142</v>
      </c>
      <c r="Z157" s="7">
        <v>8155</v>
      </c>
      <c r="AA157" s="7">
        <v>1191</v>
      </c>
      <c r="AB157" s="7">
        <v>5548</v>
      </c>
      <c r="AC157" s="7">
        <v>9689</v>
      </c>
      <c r="AD157" s="7">
        <v>9859</v>
      </c>
      <c r="AE157" s="7">
        <v>2172</v>
      </c>
      <c r="AF157" s="7">
        <v>8791</v>
      </c>
      <c r="AG157" s="7">
        <v>7436</v>
      </c>
      <c r="AH157" s="7">
        <v>4581</v>
      </c>
      <c r="AI157" s="7">
        <v>6607</v>
      </c>
      <c r="AJ157" s="7">
        <v>7430</v>
      </c>
      <c r="AK157" s="7">
        <v>4874</v>
      </c>
      <c r="AL157" s="7">
        <v>6265</v>
      </c>
      <c r="AM157" s="7">
        <v>5968</v>
      </c>
      <c r="AN157" s="7">
        <v>8958</v>
      </c>
      <c r="AO157" s="7">
        <v>4175</v>
      </c>
      <c r="AQ157" s="7"/>
      <c r="AR157" s="7"/>
    </row>
    <row r="158" spans="1:44" x14ac:dyDescent="0.25">
      <c r="A158" s="6" t="s">
        <v>108</v>
      </c>
      <c r="B158" s="6" t="s">
        <v>212</v>
      </c>
      <c r="C158" s="6" t="s">
        <v>121</v>
      </c>
      <c r="D158" s="6" t="s">
        <v>230</v>
      </c>
      <c r="E158" s="6" t="s">
        <v>59</v>
      </c>
      <c r="F158" s="7">
        <v>6392</v>
      </c>
      <c r="G158" s="7">
        <v>2562</v>
      </c>
      <c r="H158" s="7">
        <v>2328</v>
      </c>
      <c r="I158" s="7">
        <v>7115</v>
      </c>
      <c r="J158" s="7">
        <v>6922</v>
      </c>
      <c r="K158" s="7">
        <v>3426</v>
      </c>
      <c r="L158" s="7">
        <v>8731</v>
      </c>
      <c r="M158" s="7">
        <v>5124</v>
      </c>
      <c r="N158" s="7">
        <v>3092</v>
      </c>
      <c r="O158" s="7">
        <v>9058</v>
      </c>
      <c r="P158" s="7">
        <v>6735</v>
      </c>
      <c r="Q158" s="7">
        <v>8754</v>
      </c>
      <c r="R158" s="7">
        <v>2194</v>
      </c>
      <c r="S158" s="7">
        <v>28</v>
      </c>
      <c r="T158" s="7">
        <v>8396</v>
      </c>
      <c r="U158" s="7">
        <v>9375</v>
      </c>
      <c r="V158" s="7">
        <v>6043</v>
      </c>
      <c r="W158" s="7">
        <v>4637</v>
      </c>
      <c r="X158" s="7">
        <v>665</v>
      </c>
      <c r="Y158" s="7">
        <v>7530</v>
      </c>
      <c r="Z158" s="7">
        <v>2505</v>
      </c>
      <c r="AA158" s="7">
        <v>893</v>
      </c>
      <c r="AB158" s="7">
        <v>3249</v>
      </c>
      <c r="AC158" s="7">
        <v>9335</v>
      </c>
      <c r="AD158" s="7">
        <v>2522</v>
      </c>
      <c r="AE158" s="7">
        <v>9311</v>
      </c>
      <c r="AF158" s="7">
        <v>7960</v>
      </c>
      <c r="AG158" s="7">
        <v>8134</v>
      </c>
      <c r="AH158" s="7">
        <v>1968</v>
      </c>
      <c r="AI158" s="7">
        <v>6561</v>
      </c>
      <c r="AJ158" s="7">
        <v>6013</v>
      </c>
      <c r="AK158" s="7">
        <v>1266</v>
      </c>
      <c r="AL158" s="7">
        <v>8317</v>
      </c>
      <c r="AM158" s="7">
        <v>2552</v>
      </c>
      <c r="AN158" s="7">
        <v>5310</v>
      </c>
      <c r="AO158" s="7">
        <v>9965</v>
      </c>
      <c r="AQ158" s="7"/>
      <c r="AR158" s="7"/>
    </row>
    <row r="159" spans="1:44" x14ac:dyDescent="0.25">
      <c r="A159" s="6" t="s">
        <v>108</v>
      </c>
      <c r="B159" s="6" t="s">
        <v>212</v>
      </c>
      <c r="C159" s="6" t="s">
        <v>61</v>
      </c>
      <c r="D159" s="6" t="s">
        <v>243</v>
      </c>
      <c r="E159" s="6" t="s">
        <v>59</v>
      </c>
      <c r="F159" s="7">
        <v>9368</v>
      </c>
      <c r="G159" s="7">
        <v>2152</v>
      </c>
      <c r="H159" s="7">
        <v>6766</v>
      </c>
      <c r="I159" s="7">
        <v>5061</v>
      </c>
      <c r="J159" s="7">
        <v>4960</v>
      </c>
      <c r="K159" s="7">
        <v>9938</v>
      </c>
      <c r="L159" s="7">
        <v>8288</v>
      </c>
      <c r="M159" s="7">
        <v>7855</v>
      </c>
      <c r="N159" s="7">
        <v>8578</v>
      </c>
      <c r="O159" s="7">
        <v>2699</v>
      </c>
      <c r="P159" s="7">
        <v>4507</v>
      </c>
      <c r="Q159" s="7">
        <v>1475</v>
      </c>
      <c r="R159" s="7">
        <v>131</v>
      </c>
      <c r="S159" s="7">
        <v>7576</v>
      </c>
      <c r="T159" s="7">
        <v>1233</v>
      </c>
      <c r="U159" s="7">
        <v>8474</v>
      </c>
      <c r="V159" s="7">
        <v>6814</v>
      </c>
      <c r="W159" s="7">
        <v>6357</v>
      </c>
      <c r="X159" s="7">
        <v>1496</v>
      </c>
      <c r="Y159" s="7">
        <v>114</v>
      </c>
      <c r="Z159" s="7">
        <v>9255</v>
      </c>
      <c r="AA159" s="7">
        <v>6231</v>
      </c>
      <c r="AB159" s="7">
        <v>8076</v>
      </c>
      <c r="AC159" s="7">
        <v>4891</v>
      </c>
      <c r="AD159" s="7">
        <v>1935</v>
      </c>
      <c r="AE159" s="7">
        <v>182</v>
      </c>
      <c r="AF159" s="7">
        <v>1282</v>
      </c>
      <c r="AG159" s="7">
        <v>2689</v>
      </c>
      <c r="AH159" s="7">
        <v>7851</v>
      </c>
      <c r="AI159" s="7">
        <v>6792</v>
      </c>
      <c r="AJ159" s="7">
        <v>333</v>
      </c>
      <c r="AK159" s="7">
        <v>5820</v>
      </c>
      <c r="AL159" s="7">
        <v>7110</v>
      </c>
      <c r="AM159" s="7">
        <v>7807</v>
      </c>
      <c r="AN159" s="7">
        <v>3534</v>
      </c>
      <c r="AO159" s="7">
        <v>9117</v>
      </c>
      <c r="AQ159" s="7"/>
      <c r="AR159" s="7"/>
    </row>
    <row r="160" spans="1:44" x14ac:dyDescent="0.25">
      <c r="A160" s="6" t="s">
        <v>108</v>
      </c>
      <c r="B160" s="6" t="s">
        <v>212</v>
      </c>
      <c r="C160" s="6" t="s">
        <v>95</v>
      </c>
      <c r="D160" s="6" t="s">
        <v>259</v>
      </c>
      <c r="E160" s="6" t="s">
        <v>75</v>
      </c>
      <c r="F160" s="7">
        <v>5052</v>
      </c>
      <c r="G160" s="7">
        <v>7128</v>
      </c>
      <c r="H160" s="7">
        <v>3492</v>
      </c>
      <c r="I160" s="7">
        <v>5695</v>
      </c>
      <c r="J160" s="7">
        <v>4241</v>
      </c>
      <c r="K160" s="7">
        <v>1494</v>
      </c>
      <c r="L160" s="7">
        <v>9244</v>
      </c>
      <c r="M160" s="7">
        <v>3254</v>
      </c>
      <c r="N160" s="7">
        <v>1587</v>
      </c>
      <c r="O160" s="7">
        <v>7507</v>
      </c>
      <c r="P160" s="7">
        <v>9556</v>
      </c>
      <c r="Q160" s="7">
        <v>2540</v>
      </c>
      <c r="R160" s="7">
        <v>8195</v>
      </c>
      <c r="S160" s="7">
        <v>5751</v>
      </c>
      <c r="T160" s="7">
        <v>160</v>
      </c>
      <c r="U160" s="7">
        <v>306</v>
      </c>
      <c r="V160" s="7">
        <v>5990</v>
      </c>
      <c r="W160" s="7">
        <v>4271</v>
      </c>
      <c r="X160" s="7">
        <v>5656</v>
      </c>
      <c r="Y160" s="7">
        <v>8763</v>
      </c>
      <c r="Z160" s="7">
        <v>3240</v>
      </c>
      <c r="AA160" s="7">
        <v>1441</v>
      </c>
      <c r="AB160" s="7">
        <v>2901</v>
      </c>
      <c r="AC160" s="7">
        <v>3005</v>
      </c>
      <c r="AD160" s="7">
        <v>5866</v>
      </c>
      <c r="AE160" s="7">
        <v>7878</v>
      </c>
      <c r="AF160" s="7">
        <v>3353</v>
      </c>
      <c r="AG160" s="7">
        <v>5692</v>
      </c>
      <c r="AH160" s="7">
        <v>6490</v>
      </c>
      <c r="AI160" s="7">
        <v>1563</v>
      </c>
      <c r="AJ160" s="7">
        <v>1584</v>
      </c>
      <c r="AK160" s="7">
        <v>3407</v>
      </c>
      <c r="AL160" s="7">
        <v>5867</v>
      </c>
      <c r="AM160" s="7">
        <v>9747</v>
      </c>
      <c r="AN160" s="7">
        <v>7559</v>
      </c>
      <c r="AO160" s="7">
        <v>5565</v>
      </c>
      <c r="AQ160" s="7"/>
      <c r="AR160" s="7"/>
    </row>
    <row r="161" spans="1:44" x14ac:dyDescent="0.25">
      <c r="A161" s="6" t="s">
        <v>108</v>
      </c>
      <c r="B161" s="6" t="s">
        <v>212</v>
      </c>
      <c r="C161" s="6" t="s">
        <v>91</v>
      </c>
      <c r="D161" s="6" t="s">
        <v>257</v>
      </c>
      <c r="E161" s="6" t="s">
        <v>29</v>
      </c>
      <c r="F161" s="7">
        <v>1445</v>
      </c>
      <c r="G161" s="7">
        <v>7267</v>
      </c>
      <c r="H161" s="7">
        <v>4418</v>
      </c>
      <c r="I161" s="7">
        <v>6044</v>
      </c>
      <c r="J161" s="7">
        <v>1444</v>
      </c>
      <c r="K161" s="7">
        <v>8705</v>
      </c>
      <c r="L161" s="7">
        <v>3006</v>
      </c>
      <c r="M161" s="7">
        <v>7597</v>
      </c>
      <c r="N161" s="7">
        <v>5766</v>
      </c>
      <c r="O161" s="7">
        <v>268</v>
      </c>
      <c r="P161" s="7">
        <v>9398</v>
      </c>
      <c r="Q161" s="7">
        <v>3254</v>
      </c>
      <c r="R161" s="7">
        <v>755</v>
      </c>
      <c r="S161" s="7">
        <v>6638</v>
      </c>
      <c r="T161" s="7">
        <v>5090</v>
      </c>
      <c r="U161" s="7">
        <v>2077</v>
      </c>
      <c r="V161" s="7">
        <v>3021</v>
      </c>
      <c r="W161" s="7">
        <v>6386</v>
      </c>
      <c r="X161" s="7">
        <v>30</v>
      </c>
      <c r="Y161" s="7">
        <v>7034</v>
      </c>
      <c r="Z161" s="7">
        <v>1016</v>
      </c>
      <c r="AA161" s="7">
        <v>1050</v>
      </c>
      <c r="AB161" s="7">
        <v>8630</v>
      </c>
      <c r="AC161" s="7">
        <v>5224</v>
      </c>
      <c r="AD161" s="7">
        <v>5928</v>
      </c>
      <c r="AE161" s="7">
        <v>8411</v>
      </c>
      <c r="AF161" s="7">
        <v>6117</v>
      </c>
      <c r="AG161" s="7">
        <v>7369</v>
      </c>
      <c r="AH161" s="7">
        <v>5038</v>
      </c>
      <c r="AI161" s="7">
        <v>3426</v>
      </c>
      <c r="AJ161" s="7">
        <v>6368</v>
      </c>
      <c r="AK161" s="7">
        <v>5777</v>
      </c>
      <c r="AL161" s="7">
        <v>7408</v>
      </c>
      <c r="AM161" s="7">
        <v>6528</v>
      </c>
      <c r="AN161" s="7">
        <v>2514</v>
      </c>
      <c r="AO161" s="7">
        <v>3060</v>
      </c>
      <c r="AQ161" s="7"/>
      <c r="AR161" s="7"/>
    </row>
    <row r="162" spans="1:44" x14ac:dyDescent="0.25">
      <c r="A162" s="6" t="s">
        <v>108</v>
      </c>
      <c r="B162" s="6" t="s">
        <v>212</v>
      </c>
      <c r="C162" s="6" t="s">
        <v>40</v>
      </c>
      <c r="D162" s="6" t="s">
        <v>262</v>
      </c>
      <c r="E162" s="6" t="s">
        <v>26</v>
      </c>
      <c r="F162" s="7">
        <v>2351</v>
      </c>
      <c r="G162" s="7">
        <v>7435</v>
      </c>
      <c r="H162" s="7">
        <v>3625</v>
      </c>
      <c r="I162" s="7">
        <v>1664</v>
      </c>
      <c r="J162" s="7">
        <v>5011</v>
      </c>
      <c r="K162" s="7">
        <v>8140</v>
      </c>
      <c r="L162" s="7">
        <v>5582</v>
      </c>
      <c r="M162" s="7">
        <v>2604</v>
      </c>
      <c r="N162" s="7">
        <v>7724</v>
      </c>
      <c r="O162" s="7">
        <v>9585</v>
      </c>
      <c r="P162" s="7">
        <v>2931</v>
      </c>
      <c r="Q162" s="7">
        <v>953</v>
      </c>
      <c r="R162" s="7">
        <v>2052</v>
      </c>
      <c r="S162" s="7">
        <v>8863</v>
      </c>
      <c r="T162" s="7">
        <v>5753</v>
      </c>
      <c r="U162" s="7">
        <v>6615</v>
      </c>
      <c r="V162" s="7">
        <v>3285</v>
      </c>
      <c r="W162" s="7">
        <v>8</v>
      </c>
      <c r="X162" s="7">
        <v>9894</v>
      </c>
      <c r="Y162" s="7">
        <v>2251</v>
      </c>
      <c r="Z162" s="7">
        <v>6354</v>
      </c>
      <c r="AA162" s="7">
        <v>4992</v>
      </c>
      <c r="AB162" s="7">
        <v>1428</v>
      </c>
      <c r="AC162" s="7">
        <v>8482</v>
      </c>
      <c r="AD162" s="7">
        <v>315</v>
      </c>
      <c r="AE162" s="7">
        <v>2559</v>
      </c>
      <c r="AF162" s="7">
        <v>3224</v>
      </c>
      <c r="AG162" s="7">
        <v>487</v>
      </c>
      <c r="AH162" s="7">
        <v>5425</v>
      </c>
      <c r="AI162" s="7">
        <v>2072</v>
      </c>
      <c r="AJ162" s="7">
        <v>5620</v>
      </c>
      <c r="AK162" s="7">
        <v>6534</v>
      </c>
      <c r="AL162" s="7">
        <v>5686</v>
      </c>
      <c r="AM162" s="7">
        <v>5373</v>
      </c>
      <c r="AN162" s="7">
        <v>2643</v>
      </c>
      <c r="AO162" s="7">
        <v>6160</v>
      </c>
      <c r="AQ162" s="7"/>
      <c r="AR162" s="7"/>
    </row>
    <row r="163" spans="1:44" x14ac:dyDescent="0.25">
      <c r="A163" s="6" t="s">
        <v>34</v>
      </c>
      <c r="B163" s="6" t="s">
        <v>213</v>
      </c>
      <c r="C163" s="6" t="s">
        <v>35</v>
      </c>
      <c r="D163" s="6" t="s">
        <v>252</v>
      </c>
      <c r="E163" s="6" t="s">
        <v>36</v>
      </c>
      <c r="F163" s="7">
        <v>8746</v>
      </c>
      <c r="G163" s="7">
        <v>3286</v>
      </c>
      <c r="H163" s="7">
        <v>6973</v>
      </c>
      <c r="I163" s="7">
        <v>1629</v>
      </c>
      <c r="J163" s="7">
        <v>6603</v>
      </c>
      <c r="K163" s="7">
        <v>7959</v>
      </c>
      <c r="L163" s="7">
        <v>4375</v>
      </c>
      <c r="M163" s="7">
        <v>174</v>
      </c>
      <c r="N163" s="7">
        <v>4305</v>
      </c>
      <c r="O163" s="7">
        <v>4691</v>
      </c>
      <c r="P163" s="7">
        <v>4181</v>
      </c>
      <c r="Q163" s="7">
        <v>7022</v>
      </c>
      <c r="R163" s="7">
        <v>3376</v>
      </c>
      <c r="S163" s="7">
        <v>2442</v>
      </c>
      <c r="T163" s="7">
        <v>7414</v>
      </c>
      <c r="U163" s="7">
        <v>4090</v>
      </c>
      <c r="V163" s="7">
        <v>9980</v>
      </c>
      <c r="W163" s="7">
        <v>9179</v>
      </c>
      <c r="X163" s="7">
        <v>9388</v>
      </c>
      <c r="Y163" s="7">
        <v>1754</v>
      </c>
      <c r="Z163" s="7">
        <v>2037</v>
      </c>
      <c r="AA163" s="7">
        <v>2643</v>
      </c>
      <c r="AB163" s="7">
        <v>4368</v>
      </c>
      <c r="AC163" s="7">
        <v>1339</v>
      </c>
      <c r="AD163" s="7">
        <v>4940</v>
      </c>
      <c r="AE163" s="7">
        <v>8325</v>
      </c>
      <c r="AF163" s="7">
        <v>7327</v>
      </c>
      <c r="AG163" s="7">
        <v>9098</v>
      </c>
      <c r="AH163" s="7">
        <v>8461</v>
      </c>
      <c r="AI163" s="7">
        <v>5477</v>
      </c>
      <c r="AJ163" s="7">
        <v>9201</v>
      </c>
      <c r="AK163" s="7">
        <v>6889</v>
      </c>
      <c r="AL163" s="7">
        <v>252</v>
      </c>
      <c r="AM163" s="7">
        <v>2981</v>
      </c>
      <c r="AN163" s="7">
        <v>3735</v>
      </c>
      <c r="AO163" s="7">
        <v>5763</v>
      </c>
      <c r="AQ163" s="7"/>
      <c r="AR163" s="7"/>
    </row>
    <row r="164" spans="1:44" x14ac:dyDescent="0.25">
      <c r="A164" s="6" t="s">
        <v>34</v>
      </c>
      <c r="B164" s="6" t="s">
        <v>213</v>
      </c>
      <c r="C164" s="6" t="s">
        <v>121</v>
      </c>
      <c r="D164" s="6" t="s">
        <v>230</v>
      </c>
      <c r="E164" s="6" t="s">
        <v>59</v>
      </c>
      <c r="F164" s="7">
        <v>3940</v>
      </c>
      <c r="G164" s="7">
        <v>7553</v>
      </c>
      <c r="H164" s="7">
        <v>6745</v>
      </c>
      <c r="I164" s="7">
        <v>9423</v>
      </c>
      <c r="J164" s="7">
        <v>2262</v>
      </c>
      <c r="K164" s="7">
        <v>3254</v>
      </c>
      <c r="L164" s="7">
        <v>2082</v>
      </c>
      <c r="M164" s="7">
        <v>1935</v>
      </c>
      <c r="N164" s="7">
        <v>7145</v>
      </c>
      <c r="O164" s="7">
        <v>2827</v>
      </c>
      <c r="P164" s="7">
        <v>2081</v>
      </c>
      <c r="Q164" s="7">
        <v>914</v>
      </c>
      <c r="R164" s="7">
        <v>5573</v>
      </c>
      <c r="S164" s="7">
        <v>9540</v>
      </c>
      <c r="T164" s="7">
        <v>4621</v>
      </c>
      <c r="U164" s="7">
        <v>2746</v>
      </c>
      <c r="V164" s="7">
        <v>8667</v>
      </c>
      <c r="W164" s="7">
        <v>3061</v>
      </c>
      <c r="X164" s="7">
        <v>493</v>
      </c>
      <c r="Y164" s="7">
        <v>3767</v>
      </c>
      <c r="Z164" s="7">
        <v>1749</v>
      </c>
      <c r="AA164" s="7">
        <v>8187</v>
      </c>
      <c r="AB164" s="7">
        <v>9964</v>
      </c>
      <c r="AC164" s="7">
        <v>4567</v>
      </c>
      <c r="AD164" s="7">
        <v>1806</v>
      </c>
      <c r="AE164" s="7">
        <v>6228</v>
      </c>
      <c r="AF164" s="7">
        <v>37</v>
      </c>
      <c r="AG164" s="7">
        <v>1356</v>
      </c>
      <c r="AH164" s="7">
        <v>4572</v>
      </c>
      <c r="AI164" s="7">
        <v>8420</v>
      </c>
      <c r="AJ164" s="7">
        <v>4675</v>
      </c>
      <c r="AK164" s="7">
        <v>7226</v>
      </c>
      <c r="AL164" s="7">
        <v>9161</v>
      </c>
      <c r="AM164" s="7">
        <v>846</v>
      </c>
      <c r="AN164" s="7">
        <v>3610</v>
      </c>
      <c r="AO164" s="7">
        <v>2313</v>
      </c>
      <c r="AQ164" s="7"/>
      <c r="AR164" s="7"/>
    </row>
    <row r="165" spans="1:44" x14ac:dyDescent="0.25">
      <c r="A165" s="6" t="s">
        <v>34</v>
      </c>
      <c r="B165" s="6" t="s">
        <v>213</v>
      </c>
      <c r="C165" s="6" t="s">
        <v>97</v>
      </c>
      <c r="D165" s="6" t="s">
        <v>244</v>
      </c>
      <c r="E165" s="6" t="s">
        <v>70</v>
      </c>
      <c r="F165" s="7">
        <v>8533</v>
      </c>
      <c r="G165" s="7">
        <v>699</v>
      </c>
      <c r="H165" s="7">
        <v>4209</v>
      </c>
      <c r="I165" s="7">
        <v>7749</v>
      </c>
      <c r="J165" s="7">
        <v>1650</v>
      </c>
      <c r="K165" s="7">
        <v>443</v>
      </c>
      <c r="L165" s="7">
        <v>949</v>
      </c>
      <c r="M165" s="7">
        <v>3220</v>
      </c>
      <c r="N165" s="7">
        <v>4236</v>
      </c>
      <c r="O165" s="7">
        <v>652</v>
      </c>
      <c r="P165" s="7">
        <v>4395</v>
      </c>
      <c r="Q165" s="7">
        <v>3752</v>
      </c>
      <c r="R165" s="7">
        <v>1036</v>
      </c>
      <c r="S165" s="7">
        <v>7763</v>
      </c>
      <c r="T165" s="7">
        <v>8574</v>
      </c>
      <c r="U165" s="7">
        <v>4983</v>
      </c>
      <c r="V165" s="7">
        <v>3443</v>
      </c>
      <c r="W165" s="7">
        <v>8870</v>
      </c>
      <c r="X165" s="7">
        <v>4965</v>
      </c>
      <c r="Y165" s="7">
        <v>1310</v>
      </c>
      <c r="Z165" s="7">
        <v>235</v>
      </c>
      <c r="AA165" s="7">
        <v>3103</v>
      </c>
      <c r="AB165" s="7">
        <v>4857</v>
      </c>
      <c r="AC165" s="7">
        <v>881</v>
      </c>
      <c r="AD165" s="7">
        <v>3510</v>
      </c>
      <c r="AE165" s="7">
        <v>4148</v>
      </c>
      <c r="AF165" s="7">
        <v>2023</v>
      </c>
      <c r="AG165" s="7">
        <v>2293</v>
      </c>
      <c r="AH165" s="7">
        <v>3917</v>
      </c>
      <c r="AI165" s="7">
        <v>3732</v>
      </c>
      <c r="AJ165" s="7">
        <v>4309</v>
      </c>
      <c r="AK165" s="7">
        <v>7409</v>
      </c>
      <c r="AL165" s="7">
        <v>8547</v>
      </c>
      <c r="AM165" s="7">
        <v>1939</v>
      </c>
      <c r="AN165" s="7">
        <v>3930</v>
      </c>
      <c r="AO165" s="7">
        <v>8252</v>
      </c>
      <c r="AQ165" s="7"/>
      <c r="AR165" s="7"/>
    </row>
    <row r="166" spans="1:44" x14ac:dyDescent="0.25">
      <c r="A166" s="6" t="s">
        <v>96</v>
      </c>
      <c r="B166" s="6" t="s">
        <v>214</v>
      </c>
      <c r="C166" s="6" t="s">
        <v>97</v>
      </c>
      <c r="D166" s="6" t="s">
        <v>244</v>
      </c>
      <c r="E166" s="6" t="s">
        <v>70</v>
      </c>
      <c r="F166" s="7">
        <v>9355</v>
      </c>
      <c r="G166" s="7">
        <v>8536</v>
      </c>
      <c r="H166" s="7">
        <v>7155</v>
      </c>
      <c r="I166" s="7">
        <v>7993</v>
      </c>
      <c r="J166" s="7">
        <v>5190</v>
      </c>
      <c r="K166" s="7">
        <v>8670</v>
      </c>
      <c r="L166" s="7">
        <v>6398</v>
      </c>
      <c r="M166" s="7">
        <v>7736</v>
      </c>
      <c r="N166" s="7">
        <v>6063</v>
      </c>
      <c r="O166" s="7">
        <v>349</v>
      </c>
      <c r="P166" s="7">
        <v>9069</v>
      </c>
      <c r="Q166" s="7">
        <v>935</v>
      </c>
      <c r="R166" s="7">
        <v>2869</v>
      </c>
      <c r="S166" s="7">
        <v>576</v>
      </c>
      <c r="T166" s="7">
        <v>9355</v>
      </c>
      <c r="U166" s="7">
        <v>4736</v>
      </c>
      <c r="V166" s="7">
        <v>3801</v>
      </c>
      <c r="W166" s="7">
        <v>4606</v>
      </c>
      <c r="X166" s="7">
        <v>8223</v>
      </c>
      <c r="Y166" s="7">
        <v>8842</v>
      </c>
      <c r="Z166" s="7">
        <v>8068</v>
      </c>
      <c r="AA166" s="7">
        <v>2384</v>
      </c>
      <c r="AB166" s="7">
        <v>7630</v>
      </c>
      <c r="AC166" s="7">
        <v>786</v>
      </c>
      <c r="AD166" s="7">
        <v>7978</v>
      </c>
      <c r="AE166" s="7">
        <v>455</v>
      </c>
      <c r="AF166" s="7">
        <v>8465</v>
      </c>
      <c r="AG166" s="7">
        <v>4683</v>
      </c>
      <c r="AH166" s="7">
        <v>8856</v>
      </c>
      <c r="AI166" s="7">
        <v>4557</v>
      </c>
      <c r="AJ166" s="7">
        <v>5801</v>
      </c>
      <c r="AK166" s="7">
        <v>7764</v>
      </c>
      <c r="AL166" s="7">
        <v>7400</v>
      </c>
      <c r="AM166" s="7">
        <v>947</v>
      </c>
      <c r="AN166" s="7">
        <v>319</v>
      </c>
      <c r="AO166" s="7">
        <v>9979</v>
      </c>
      <c r="AQ166" s="7"/>
      <c r="AR166" s="7"/>
    </row>
    <row r="167" spans="1:44" x14ac:dyDescent="0.25">
      <c r="A167" s="6" t="s">
        <v>96</v>
      </c>
      <c r="B167" s="6" t="s">
        <v>214</v>
      </c>
      <c r="C167" s="6" t="s">
        <v>32</v>
      </c>
      <c r="D167" s="6" t="s">
        <v>256</v>
      </c>
      <c r="E167" s="6" t="s">
        <v>33</v>
      </c>
      <c r="F167" s="7">
        <v>9504</v>
      </c>
      <c r="G167" s="7">
        <v>2439</v>
      </c>
      <c r="H167" s="7">
        <v>8012</v>
      </c>
      <c r="I167" s="7">
        <v>477</v>
      </c>
      <c r="J167" s="7">
        <v>8215</v>
      </c>
      <c r="K167" s="7">
        <v>3148</v>
      </c>
      <c r="L167" s="7">
        <v>8446</v>
      </c>
      <c r="M167" s="7">
        <v>59</v>
      </c>
      <c r="N167" s="7">
        <v>2024</v>
      </c>
      <c r="O167" s="7">
        <v>7973</v>
      </c>
      <c r="P167" s="7">
        <v>565</v>
      </c>
      <c r="Q167" s="7">
        <v>5548</v>
      </c>
      <c r="R167" s="7">
        <v>8408</v>
      </c>
      <c r="S167" s="7">
        <v>2006</v>
      </c>
      <c r="T167" s="7">
        <v>2469</v>
      </c>
      <c r="U167" s="7">
        <v>9152</v>
      </c>
      <c r="V167" s="7">
        <v>9387</v>
      </c>
      <c r="W167" s="7">
        <v>3365</v>
      </c>
      <c r="X167" s="7">
        <v>2715</v>
      </c>
      <c r="Y167" s="7">
        <v>8993</v>
      </c>
      <c r="Z167" s="7">
        <v>2278</v>
      </c>
      <c r="AA167" s="7">
        <v>6278</v>
      </c>
      <c r="AB167" s="7">
        <v>923</v>
      </c>
      <c r="AC167" s="7">
        <v>3512</v>
      </c>
      <c r="AD167" s="7">
        <v>7306</v>
      </c>
      <c r="AE167" s="7">
        <v>7887</v>
      </c>
      <c r="AF167" s="7">
        <v>4074</v>
      </c>
      <c r="AG167" s="7">
        <v>5283</v>
      </c>
      <c r="AH167" s="7">
        <v>7555</v>
      </c>
      <c r="AI167" s="7">
        <v>799</v>
      </c>
      <c r="AJ167" s="7">
        <v>9947</v>
      </c>
      <c r="AK167" s="7">
        <v>8623</v>
      </c>
      <c r="AL167" s="7">
        <v>8490</v>
      </c>
      <c r="AM167" s="7">
        <v>6289</v>
      </c>
      <c r="AN167" s="7">
        <v>1356</v>
      </c>
      <c r="AO167" s="7">
        <v>8997</v>
      </c>
      <c r="AQ167" s="7"/>
      <c r="AR167" s="7"/>
    </row>
    <row r="168" spans="1:44" x14ac:dyDescent="0.25">
      <c r="A168" s="6" t="s">
        <v>140</v>
      </c>
      <c r="B168" s="6" t="s">
        <v>215</v>
      </c>
      <c r="C168" s="6" t="s">
        <v>42</v>
      </c>
      <c r="D168" s="6" t="s">
        <v>263</v>
      </c>
      <c r="E168" s="6" t="s">
        <v>43</v>
      </c>
      <c r="F168" s="7">
        <v>7756</v>
      </c>
      <c r="G168" s="7">
        <v>2317</v>
      </c>
      <c r="H168" s="7">
        <v>2941</v>
      </c>
      <c r="I168" s="7">
        <v>1847</v>
      </c>
      <c r="J168" s="7">
        <v>5962</v>
      </c>
      <c r="K168" s="7">
        <v>3691</v>
      </c>
      <c r="L168" s="7">
        <v>2852</v>
      </c>
      <c r="M168" s="7">
        <v>4455</v>
      </c>
      <c r="N168" s="7">
        <v>3589</v>
      </c>
      <c r="O168" s="7">
        <v>977</v>
      </c>
      <c r="P168" s="7">
        <v>1139</v>
      </c>
      <c r="Q168" s="7">
        <v>8148</v>
      </c>
      <c r="R168" s="7">
        <v>9333</v>
      </c>
      <c r="S168" s="7">
        <v>5428</v>
      </c>
      <c r="T168" s="7">
        <v>6086</v>
      </c>
      <c r="U168" s="7">
        <v>3248</v>
      </c>
      <c r="V168" s="7">
        <v>652</v>
      </c>
      <c r="W168" s="7">
        <v>8925</v>
      </c>
      <c r="X168" s="7">
        <v>6194</v>
      </c>
      <c r="Y168" s="7">
        <v>8307</v>
      </c>
      <c r="Z168" s="7">
        <v>6588</v>
      </c>
      <c r="AA168" s="7">
        <v>7932</v>
      </c>
      <c r="AB168" s="7">
        <v>4183</v>
      </c>
      <c r="AC168" s="7">
        <v>5145</v>
      </c>
      <c r="AD168" s="7">
        <v>8703</v>
      </c>
      <c r="AE168" s="7">
        <v>9423</v>
      </c>
      <c r="AF168" s="7">
        <v>9569</v>
      </c>
      <c r="AG168" s="7">
        <v>6679</v>
      </c>
      <c r="AH168" s="7">
        <v>7649</v>
      </c>
      <c r="AI168" s="7">
        <v>2413</v>
      </c>
      <c r="AJ168" s="7">
        <v>8454</v>
      </c>
      <c r="AK168" s="7">
        <v>5765</v>
      </c>
      <c r="AL168" s="7">
        <v>9068</v>
      </c>
      <c r="AM168" s="7">
        <v>1517</v>
      </c>
      <c r="AN168" s="7">
        <v>5412</v>
      </c>
      <c r="AO168" s="7">
        <v>5281</v>
      </c>
      <c r="AQ168" s="7"/>
      <c r="AR168" s="7"/>
    </row>
    <row r="169" spans="1:44" x14ac:dyDescent="0.25">
      <c r="A169" s="6" t="s">
        <v>56</v>
      </c>
      <c r="B169" s="6" t="s">
        <v>216</v>
      </c>
      <c r="C169" s="6" t="s">
        <v>62</v>
      </c>
      <c r="D169" s="6" t="s">
        <v>260</v>
      </c>
      <c r="E169" s="6" t="s">
        <v>46</v>
      </c>
      <c r="F169" s="7">
        <v>562</v>
      </c>
      <c r="G169" s="7">
        <v>7590</v>
      </c>
      <c r="H169" s="7">
        <v>348</v>
      </c>
      <c r="I169" s="7">
        <v>6686</v>
      </c>
      <c r="J169" s="7">
        <v>3972</v>
      </c>
      <c r="K169" s="7">
        <v>9733</v>
      </c>
      <c r="L169" s="7">
        <v>6158</v>
      </c>
      <c r="M169" s="7">
        <v>7739</v>
      </c>
      <c r="N169" s="7">
        <v>2293</v>
      </c>
      <c r="O169" s="7">
        <v>8748</v>
      </c>
      <c r="P169" s="7">
        <v>6532</v>
      </c>
      <c r="Q169" s="7">
        <v>6970</v>
      </c>
      <c r="R169" s="7">
        <v>669</v>
      </c>
      <c r="S169" s="7">
        <v>7002</v>
      </c>
      <c r="T169" s="7">
        <v>9527</v>
      </c>
      <c r="U169" s="7">
        <v>8345</v>
      </c>
      <c r="V169" s="7">
        <v>7477</v>
      </c>
      <c r="W169" s="7">
        <v>4694</v>
      </c>
      <c r="X169" s="7">
        <v>5912</v>
      </c>
      <c r="Y169" s="7">
        <v>8681</v>
      </c>
      <c r="Z169" s="7">
        <v>8958</v>
      </c>
      <c r="AA169" s="7">
        <v>7275</v>
      </c>
      <c r="AB169" s="7">
        <v>5876</v>
      </c>
      <c r="AC169" s="7">
        <v>3118</v>
      </c>
      <c r="AD169" s="7">
        <v>5115</v>
      </c>
      <c r="AE169" s="7">
        <v>7162</v>
      </c>
      <c r="AF169" s="7">
        <v>2552</v>
      </c>
      <c r="AG169" s="7">
        <v>9839</v>
      </c>
      <c r="AH169" s="7">
        <v>5093</v>
      </c>
      <c r="AI169" s="7">
        <v>6110</v>
      </c>
      <c r="AJ169" s="7">
        <v>1877</v>
      </c>
      <c r="AK169" s="7">
        <v>4219</v>
      </c>
      <c r="AL169" s="7">
        <v>4457</v>
      </c>
      <c r="AM169" s="7">
        <v>3762</v>
      </c>
      <c r="AN169" s="7">
        <v>5929</v>
      </c>
      <c r="AO169" s="7">
        <v>514</v>
      </c>
      <c r="AQ169" s="7"/>
      <c r="AR169" s="7"/>
    </row>
    <row r="170" spans="1:44" x14ac:dyDescent="0.25">
      <c r="A170" s="6" t="s">
        <v>56</v>
      </c>
      <c r="B170" s="6" t="s">
        <v>216</v>
      </c>
      <c r="C170" s="6" t="s">
        <v>55</v>
      </c>
      <c r="D170" s="6" t="s">
        <v>271</v>
      </c>
      <c r="E170" s="6" t="s">
        <v>29</v>
      </c>
      <c r="F170" s="7">
        <v>5388</v>
      </c>
      <c r="G170" s="7">
        <v>1420</v>
      </c>
      <c r="H170" s="7">
        <v>2779</v>
      </c>
      <c r="I170" s="7">
        <v>8515</v>
      </c>
      <c r="J170" s="7">
        <v>9170</v>
      </c>
      <c r="K170" s="7">
        <v>8408</v>
      </c>
      <c r="L170" s="7">
        <v>7890</v>
      </c>
      <c r="M170" s="7">
        <v>3055</v>
      </c>
      <c r="N170" s="7">
        <v>2374</v>
      </c>
      <c r="O170" s="7">
        <v>3554</v>
      </c>
      <c r="P170" s="7">
        <v>1111</v>
      </c>
      <c r="Q170" s="7">
        <v>8597</v>
      </c>
      <c r="R170" s="7">
        <v>9070</v>
      </c>
      <c r="S170" s="7">
        <v>8093</v>
      </c>
      <c r="T170" s="7">
        <v>5245</v>
      </c>
      <c r="U170" s="7">
        <v>1203</v>
      </c>
      <c r="V170" s="7">
        <v>8967</v>
      </c>
      <c r="W170" s="7">
        <v>2744</v>
      </c>
      <c r="X170" s="7">
        <v>6261</v>
      </c>
      <c r="Y170" s="7">
        <v>8932</v>
      </c>
      <c r="Z170" s="7">
        <v>434</v>
      </c>
      <c r="AA170" s="7">
        <v>7794</v>
      </c>
      <c r="AB170" s="7">
        <v>3390</v>
      </c>
      <c r="AC170" s="7">
        <v>7418</v>
      </c>
      <c r="AD170" s="7">
        <v>322</v>
      </c>
      <c r="AE170" s="7">
        <v>5493</v>
      </c>
      <c r="AF170" s="7">
        <v>4946</v>
      </c>
      <c r="AG170" s="7">
        <v>6343</v>
      </c>
      <c r="AH170" s="7">
        <v>7093</v>
      </c>
      <c r="AI170" s="7">
        <v>126</v>
      </c>
      <c r="AJ170" s="7">
        <v>867</v>
      </c>
      <c r="AK170" s="7">
        <v>1577</v>
      </c>
      <c r="AL170" s="7">
        <v>3104</v>
      </c>
      <c r="AM170" s="7">
        <v>309</v>
      </c>
      <c r="AN170" s="7">
        <v>5724</v>
      </c>
      <c r="AO170" s="7">
        <v>5138</v>
      </c>
      <c r="AQ170" s="7"/>
      <c r="AR170" s="7"/>
    </row>
    <row r="171" spans="1:44" x14ac:dyDescent="0.25">
      <c r="A171" s="6" t="s">
        <v>122</v>
      </c>
      <c r="B171" s="6" t="s">
        <v>217</v>
      </c>
      <c r="C171" s="6" t="s">
        <v>97</v>
      </c>
      <c r="D171" s="6" t="s">
        <v>244</v>
      </c>
      <c r="E171" s="6" t="s">
        <v>70</v>
      </c>
      <c r="F171" s="7">
        <v>3638</v>
      </c>
      <c r="G171" s="7">
        <v>3750</v>
      </c>
      <c r="H171" s="7">
        <v>9953</v>
      </c>
      <c r="I171" s="7">
        <v>6430</v>
      </c>
      <c r="J171" s="7">
        <v>2171</v>
      </c>
      <c r="K171" s="7">
        <v>9861</v>
      </c>
      <c r="L171" s="7">
        <v>1697</v>
      </c>
      <c r="M171" s="7">
        <v>5194</v>
      </c>
      <c r="N171" s="7">
        <v>5479</v>
      </c>
      <c r="O171" s="7">
        <v>3084</v>
      </c>
      <c r="P171" s="7">
        <v>1099</v>
      </c>
      <c r="Q171" s="7">
        <v>3047</v>
      </c>
      <c r="R171" s="7">
        <v>6242</v>
      </c>
      <c r="S171" s="7">
        <v>5863</v>
      </c>
      <c r="T171" s="7">
        <v>8183</v>
      </c>
      <c r="U171" s="7">
        <v>1571</v>
      </c>
      <c r="V171" s="7">
        <v>183</v>
      </c>
      <c r="W171" s="7">
        <v>6949</v>
      </c>
      <c r="X171" s="7">
        <v>8399</v>
      </c>
      <c r="Y171" s="7">
        <v>7332</v>
      </c>
      <c r="Z171" s="7">
        <v>9267</v>
      </c>
      <c r="AA171" s="7">
        <v>4989</v>
      </c>
      <c r="AB171" s="7">
        <v>7559</v>
      </c>
      <c r="AC171" s="7">
        <v>7312</v>
      </c>
      <c r="AD171" s="7">
        <v>8908</v>
      </c>
      <c r="AE171" s="7">
        <v>4117</v>
      </c>
      <c r="AF171" s="7">
        <v>3263</v>
      </c>
      <c r="AG171" s="7">
        <v>4041</v>
      </c>
      <c r="AH171" s="7">
        <v>267</v>
      </c>
      <c r="AI171" s="7">
        <v>7789</v>
      </c>
      <c r="AJ171" s="7">
        <v>6559</v>
      </c>
      <c r="AK171" s="7">
        <v>5681</v>
      </c>
      <c r="AL171" s="7">
        <v>2054</v>
      </c>
      <c r="AM171" s="7">
        <v>7615</v>
      </c>
      <c r="AN171" s="7">
        <v>8839</v>
      </c>
      <c r="AO171" s="7">
        <v>4410</v>
      </c>
      <c r="AQ171" s="7"/>
      <c r="AR171" s="7"/>
    </row>
    <row r="172" spans="1:44" x14ac:dyDescent="0.25">
      <c r="A172" s="6" t="s">
        <v>122</v>
      </c>
      <c r="B172" s="6" t="s">
        <v>217</v>
      </c>
      <c r="C172" s="6" t="s">
        <v>97</v>
      </c>
      <c r="D172" s="6" t="s">
        <v>244</v>
      </c>
      <c r="E172" s="6" t="s">
        <v>70</v>
      </c>
      <c r="F172" s="7">
        <v>1276</v>
      </c>
      <c r="G172" s="7">
        <v>6547</v>
      </c>
      <c r="H172" s="7">
        <v>9273</v>
      </c>
      <c r="I172" s="7">
        <v>7252</v>
      </c>
      <c r="J172" s="7">
        <v>6137</v>
      </c>
      <c r="K172" s="7">
        <v>355</v>
      </c>
      <c r="L172" s="7">
        <v>7389</v>
      </c>
      <c r="M172" s="7">
        <v>731</v>
      </c>
      <c r="N172" s="7">
        <v>2784</v>
      </c>
      <c r="O172" s="7">
        <v>1004</v>
      </c>
      <c r="P172" s="7">
        <v>1657</v>
      </c>
      <c r="Q172" s="7">
        <v>5326</v>
      </c>
      <c r="R172" s="7">
        <v>9749</v>
      </c>
      <c r="S172" s="7">
        <v>7132</v>
      </c>
      <c r="T172" s="7">
        <v>3010</v>
      </c>
      <c r="U172" s="7">
        <v>108</v>
      </c>
      <c r="V172" s="7">
        <v>1172</v>
      </c>
      <c r="W172" s="7">
        <v>5905</v>
      </c>
      <c r="X172" s="7">
        <v>951</v>
      </c>
      <c r="Y172" s="7">
        <v>7166</v>
      </c>
      <c r="Z172" s="7">
        <v>1521</v>
      </c>
      <c r="AA172" s="7">
        <v>3038</v>
      </c>
      <c r="AB172" s="7">
        <v>3944</v>
      </c>
      <c r="AC172" s="7">
        <v>7955</v>
      </c>
      <c r="AD172" s="7">
        <v>8770</v>
      </c>
      <c r="AE172" s="7">
        <v>8982</v>
      </c>
      <c r="AF172" s="7">
        <v>645</v>
      </c>
      <c r="AG172" s="7">
        <v>7251</v>
      </c>
      <c r="AH172" s="7">
        <v>5416</v>
      </c>
      <c r="AI172" s="7">
        <v>1983</v>
      </c>
      <c r="AJ172" s="7">
        <v>7652</v>
      </c>
      <c r="AK172" s="7">
        <v>9365</v>
      </c>
      <c r="AL172" s="7">
        <v>2875</v>
      </c>
      <c r="AM172" s="7">
        <v>6263</v>
      </c>
      <c r="AN172" s="7">
        <v>7918</v>
      </c>
      <c r="AO172" s="7">
        <v>1467</v>
      </c>
      <c r="AQ172" s="7"/>
      <c r="AR172" s="7"/>
    </row>
    <row r="173" spans="1:44" x14ac:dyDescent="0.25">
      <c r="A173" s="6" t="s">
        <v>44</v>
      </c>
      <c r="B173" s="6" t="s">
        <v>218</v>
      </c>
      <c r="C173" s="6" t="s">
        <v>45</v>
      </c>
      <c r="D173" s="6" t="s">
        <v>248</v>
      </c>
      <c r="E173" s="6" t="s">
        <v>46</v>
      </c>
      <c r="F173" s="7">
        <v>1923</v>
      </c>
      <c r="G173" s="7">
        <v>5513</v>
      </c>
      <c r="H173" s="7">
        <v>7</v>
      </c>
      <c r="I173" s="7">
        <v>1789</v>
      </c>
      <c r="J173" s="7">
        <v>5049</v>
      </c>
      <c r="K173" s="7">
        <v>817</v>
      </c>
      <c r="L173" s="7">
        <v>8117</v>
      </c>
      <c r="M173" s="7">
        <v>8280</v>
      </c>
      <c r="N173" s="7">
        <v>3874</v>
      </c>
      <c r="O173" s="7">
        <v>5926</v>
      </c>
      <c r="P173" s="7">
        <v>3712</v>
      </c>
      <c r="Q173" s="7">
        <v>7565</v>
      </c>
      <c r="R173" s="7">
        <v>9063</v>
      </c>
      <c r="S173" s="7">
        <v>6706</v>
      </c>
      <c r="T173" s="7">
        <v>3114</v>
      </c>
      <c r="U173" s="7">
        <v>615</v>
      </c>
      <c r="V173" s="7">
        <v>7532</v>
      </c>
      <c r="W173" s="7">
        <v>7248</v>
      </c>
      <c r="X173" s="7">
        <v>294</v>
      </c>
      <c r="Y173" s="7">
        <v>7105</v>
      </c>
      <c r="Z173" s="7">
        <v>8653</v>
      </c>
      <c r="AA173" s="7">
        <v>7138</v>
      </c>
      <c r="AB173" s="7">
        <v>2734</v>
      </c>
      <c r="AC173" s="7">
        <v>8556</v>
      </c>
      <c r="AD173" s="7">
        <v>4995</v>
      </c>
      <c r="AE173" s="7">
        <v>9925</v>
      </c>
      <c r="AF173" s="7">
        <v>2716</v>
      </c>
      <c r="AG173" s="7">
        <v>4086</v>
      </c>
      <c r="AH173" s="7">
        <v>6667</v>
      </c>
      <c r="AI173" s="7">
        <v>6630</v>
      </c>
      <c r="AJ173" s="7">
        <v>659</v>
      </c>
      <c r="AK173" s="7">
        <v>9683</v>
      </c>
      <c r="AL173" s="7">
        <v>469</v>
      </c>
      <c r="AM173" s="7">
        <v>1842</v>
      </c>
      <c r="AN173" s="7">
        <v>9143</v>
      </c>
      <c r="AO173" s="7">
        <v>7370</v>
      </c>
      <c r="AQ173" s="7"/>
      <c r="AR173" s="7"/>
    </row>
    <row r="174" spans="1:44" x14ac:dyDescent="0.25">
      <c r="A174" s="6" t="s">
        <v>132</v>
      </c>
      <c r="B174" s="6" t="s">
        <v>219</v>
      </c>
      <c r="C174" s="6" t="s">
        <v>133</v>
      </c>
      <c r="D174" s="6" t="s">
        <v>253</v>
      </c>
      <c r="E174" s="6" t="s">
        <v>33</v>
      </c>
      <c r="F174" s="7">
        <v>9966</v>
      </c>
      <c r="G174" s="7">
        <v>9624</v>
      </c>
      <c r="H174" s="7">
        <v>891</v>
      </c>
      <c r="I174" s="7">
        <v>9906</v>
      </c>
      <c r="J174" s="7">
        <v>5067</v>
      </c>
      <c r="K174" s="7">
        <v>2607</v>
      </c>
      <c r="L174" s="7">
        <v>2878</v>
      </c>
      <c r="M174" s="7">
        <v>4116</v>
      </c>
      <c r="N174" s="7">
        <v>7493</v>
      </c>
      <c r="O174" s="7">
        <v>626</v>
      </c>
      <c r="P174" s="7">
        <v>1326</v>
      </c>
      <c r="Q174" s="7">
        <v>4871</v>
      </c>
      <c r="R174" s="7">
        <v>5537</v>
      </c>
      <c r="S174" s="7">
        <v>981</v>
      </c>
      <c r="T174" s="7">
        <v>9421</v>
      </c>
      <c r="U174" s="7">
        <v>2458</v>
      </c>
      <c r="V174" s="7">
        <v>934</v>
      </c>
      <c r="W174" s="7">
        <v>1889</v>
      </c>
      <c r="X174" s="7">
        <v>7960</v>
      </c>
      <c r="Y174" s="7">
        <v>7249</v>
      </c>
      <c r="Z174" s="7">
        <v>5180</v>
      </c>
      <c r="AA174" s="7">
        <v>9611</v>
      </c>
      <c r="AB174" s="7">
        <v>5546</v>
      </c>
      <c r="AC174" s="7">
        <v>7837</v>
      </c>
      <c r="AD174" s="7">
        <v>898</v>
      </c>
      <c r="AE174" s="7">
        <v>14</v>
      </c>
      <c r="AF174" s="7">
        <v>2702</v>
      </c>
      <c r="AG174" s="7">
        <v>8567</v>
      </c>
      <c r="AH174" s="7">
        <v>1159</v>
      </c>
      <c r="AI174" s="7">
        <v>7715</v>
      </c>
      <c r="AJ174" s="7">
        <v>4703</v>
      </c>
      <c r="AK174" s="7">
        <v>8872</v>
      </c>
      <c r="AL174" s="7">
        <v>2330</v>
      </c>
      <c r="AM174" s="7">
        <v>6770</v>
      </c>
      <c r="AN174" s="7">
        <v>1945</v>
      </c>
      <c r="AO174" s="7">
        <v>9996</v>
      </c>
      <c r="AQ174" s="7"/>
      <c r="AR174" s="7"/>
    </row>
    <row r="175" spans="1:44" x14ac:dyDescent="0.25">
      <c r="A175" s="6" t="s">
        <v>132</v>
      </c>
      <c r="B175" s="6" t="s">
        <v>219</v>
      </c>
      <c r="C175" s="6" t="s">
        <v>74</v>
      </c>
      <c r="D175" s="6" t="s">
        <v>266</v>
      </c>
      <c r="E175" s="6" t="s">
        <v>75</v>
      </c>
      <c r="F175" s="7">
        <v>7851</v>
      </c>
      <c r="G175" s="7">
        <v>1713</v>
      </c>
      <c r="H175" s="7">
        <v>2355</v>
      </c>
      <c r="I175" s="7">
        <v>1848</v>
      </c>
      <c r="J175" s="7">
        <v>1974</v>
      </c>
      <c r="K175" s="7">
        <v>2714</v>
      </c>
      <c r="L175" s="7">
        <v>5142</v>
      </c>
      <c r="M175" s="7">
        <v>1989</v>
      </c>
      <c r="N175" s="7">
        <v>2992</v>
      </c>
      <c r="O175" s="7">
        <v>7653</v>
      </c>
      <c r="P175" s="7">
        <v>1611</v>
      </c>
      <c r="Q175" s="7">
        <v>6709</v>
      </c>
      <c r="R175" s="7">
        <v>6944</v>
      </c>
      <c r="S175" s="7">
        <v>2256</v>
      </c>
      <c r="T175" s="7">
        <v>2519</v>
      </c>
      <c r="U175" s="7">
        <v>3277</v>
      </c>
      <c r="V175" s="7">
        <v>4220</v>
      </c>
      <c r="W175" s="7">
        <v>450</v>
      </c>
      <c r="X175" s="7">
        <v>2933</v>
      </c>
      <c r="Y175" s="7">
        <v>9923</v>
      </c>
      <c r="Z175" s="7">
        <v>5346</v>
      </c>
      <c r="AA175" s="7">
        <v>5356</v>
      </c>
      <c r="AB175" s="7">
        <v>2966</v>
      </c>
      <c r="AC175" s="7">
        <v>5088</v>
      </c>
      <c r="AD175" s="7">
        <v>8654</v>
      </c>
      <c r="AE175" s="7">
        <v>5943</v>
      </c>
      <c r="AF175" s="7">
        <v>4172</v>
      </c>
      <c r="AG175" s="7">
        <v>3246</v>
      </c>
      <c r="AH175" s="7">
        <v>8903</v>
      </c>
      <c r="AI175" s="7">
        <v>1060</v>
      </c>
      <c r="AJ175" s="7">
        <v>4807</v>
      </c>
      <c r="AK175" s="7">
        <v>1317</v>
      </c>
      <c r="AL175" s="7">
        <v>5218</v>
      </c>
      <c r="AM175" s="7">
        <v>6846</v>
      </c>
      <c r="AN175" s="7">
        <v>2061</v>
      </c>
      <c r="AO175" s="7">
        <v>3639</v>
      </c>
      <c r="AQ175" s="7"/>
      <c r="AR175" s="7"/>
    </row>
    <row r="176" spans="1:44" x14ac:dyDescent="0.25">
      <c r="A176" s="6" t="s">
        <v>106</v>
      </c>
      <c r="B176" s="6" t="s">
        <v>220</v>
      </c>
      <c r="C176" s="6" t="s">
        <v>95</v>
      </c>
      <c r="D176" s="6" t="s">
        <v>259</v>
      </c>
      <c r="E176" s="6" t="s">
        <v>75</v>
      </c>
      <c r="F176" s="7">
        <v>7596</v>
      </c>
      <c r="G176" s="7">
        <v>5519</v>
      </c>
      <c r="H176" s="7">
        <v>6051</v>
      </c>
      <c r="I176" s="7">
        <v>9330</v>
      </c>
      <c r="J176" s="7">
        <v>6903</v>
      </c>
      <c r="K176" s="7">
        <v>7996</v>
      </c>
      <c r="L176" s="7">
        <v>1553</v>
      </c>
      <c r="M176" s="7">
        <v>3922</v>
      </c>
      <c r="N176" s="7">
        <v>3867</v>
      </c>
      <c r="O176" s="7">
        <v>2607</v>
      </c>
      <c r="P176" s="7">
        <v>5368</v>
      </c>
      <c r="Q176" s="7">
        <v>2474</v>
      </c>
      <c r="R176" s="7">
        <v>4784</v>
      </c>
      <c r="S176" s="7">
        <v>5655</v>
      </c>
      <c r="T176" s="7">
        <v>1733</v>
      </c>
      <c r="U176" s="7">
        <v>6379</v>
      </c>
      <c r="V176" s="7">
        <v>6528</v>
      </c>
      <c r="W176" s="7">
        <v>4778</v>
      </c>
      <c r="X176" s="7">
        <v>3899</v>
      </c>
      <c r="Y176" s="7">
        <v>4237</v>
      </c>
      <c r="Z176" s="7">
        <v>8165</v>
      </c>
      <c r="AA176" s="7">
        <v>7718</v>
      </c>
      <c r="AB176" s="7">
        <v>2430</v>
      </c>
      <c r="AC176" s="7">
        <v>9819</v>
      </c>
      <c r="AD176" s="7">
        <v>6821</v>
      </c>
      <c r="AE176" s="7">
        <v>3931</v>
      </c>
      <c r="AF176" s="7">
        <v>1727</v>
      </c>
      <c r="AG176" s="7">
        <v>8159</v>
      </c>
      <c r="AH176" s="7">
        <v>2514</v>
      </c>
      <c r="AI176" s="7">
        <v>4232</v>
      </c>
      <c r="AJ176" s="7">
        <v>5693</v>
      </c>
      <c r="AK176" s="7">
        <v>7655</v>
      </c>
      <c r="AL176" s="7">
        <v>5292</v>
      </c>
      <c r="AM176" s="7">
        <v>9201</v>
      </c>
      <c r="AN176" s="7">
        <v>2332</v>
      </c>
      <c r="AO176" s="7">
        <v>4310</v>
      </c>
      <c r="AQ176" s="7"/>
      <c r="AR176" s="7"/>
    </row>
    <row r="177" spans="1:44" x14ac:dyDescent="0.25">
      <c r="A177" s="6" t="s">
        <v>106</v>
      </c>
      <c r="B177" s="6" t="s">
        <v>220</v>
      </c>
      <c r="C177" s="6" t="s">
        <v>64</v>
      </c>
      <c r="D177" s="6" t="s">
        <v>251</v>
      </c>
      <c r="E177" s="6" t="s">
        <v>46</v>
      </c>
      <c r="F177" s="7">
        <v>3173</v>
      </c>
      <c r="G177" s="7">
        <v>15</v>
      </c>
      <c r="H177" s="7">
        <v>8033</v>
      </c>
      <c r="I177" s="7">
        <v>2836</v>
      </c>
      <c r="J177" s="7">
        <v>1031</v>
      </c>
      <c r="K177" s="7">
        <v>3701</v>
      </c>
      <c r="L177" s="7">
        <v>5813</v>
      </c>
      <c r="M177" s="7">
        <v>5325</v>
      </c>
      <c r="N177" s="7">
        <v>622</v>
      </c>
      <c r="O177" s="7">
        <v>1093</v>
      </c>
      <c r="P177" s="7">
        <v>9537</v>
      </c>
      <c r="Q177" s="7">
        <v>7886</v>
      </c>
      <c r="R177" s="7">
        <v>1407</v>
      </c>
      <c r="S177" s="7">
        <v>2448</v>
      </c>
      <c r="T177" s="7">
        <v>9070</v>
      </c>
      <c r="U177" s="7">
        <v>6632</v>
      </c>
      <c r="V177" s="7">
        <v>8450</v>
      </c>
      <c r="W177" s="7">
        <v>2646</v>
      </c>
      <c r="X177" s="7">
        <v>5739</v>
      </c>
      <c r="Y177" s="7">
        <v>3676</v>
      </c>
      <c r="Z177" s="7">
        <v>6731</v>
      </c>
      <c r="AA177" s="7">
        <v>7426</v>
      </c>
      <c r="AB177" s="7">
        <v>7051</v>
      </c>
      <c r="AC177" s="7">
        <v>5580</v>
      </c>
      <c r="AD177" s="7">
        <v>1696</v>
      </c>
      <c r="AE177" s="7">
        <v>3002</v>
      </c>
      <c r="AF177" s="7">
        <v>8533</v>
      </c>
      <c r="AG177" s="7">
        <v>2082</v>
      </c>
      <c r="AH177" s="7">
        <v>5642</v>
      </c>
      <c r="AI177" s="7">
        <v>4698</v>
      </c>
      <c r="AJ177" s="7">
        <v>3477</v>
      </c>
      <c r="AK177" s="7">
        <v>7454</v>
      </c>
      <c r="AL177" s="7">
        <v>7793</v>
      </c>
      <c r="AM177" s="7">
        <v>8886</v>
      </c>
      <c r="AN177" s="7">
        <v>3263</v>
      </c>
      <c r="AO177" s="7">
        <v>197</v>
      </c>
      <c r="AQ177" s="7"/>
      <c r="AR177" s="7"/>
    </row>
    <row r="178" spans="1:44" x14ac:dyDescent="0.25">
      <c r="A178" s="6" t="s">
        <v>106</v>
      </c>
      <c r="B178" s="6" t="s">
        <v>220</v>
      </c>
      <c r="C178" s="6" t="s">
        <v>97</v>
      </c>
      <c r="D178" s="6" t="s">
        <v>244</v>
      </c>
      <c r="E178" s="6" t="s">
        <v>70</v>
      </c>
      <c r="F178" s="7">
        <v>2402</v>
      </c>
      <c r="G178" s="7">
        <v>5183</v>
      </c>
      <c r="H178" s="7">
        <v>2897</v>
      </c>
      <c r="I178" s="7">
        <v>3277</v>
      </c>
      <c r="J178" s="7">
        <v>7055</v>
      </c>
      <c r="K178" s="7">
        <v>1703</v>
      </c>
      <c r="L178" s="7">
        <v>4580</v>
      </c>
      <c r="M178" s="7">
        <v>5879</v>
      </c>
      <c r="N178" s="7">
        <v>5807</v>
      </c>
      <c r="O178" s="7">
        <v>2344</v>
      </c>
      <c r="P178" s="7">
        <v>6877</v>
      </c>
      <c r="Q178" s="7">
        <v>1503</v>
      </c>
      <c r="R178" s="7">
        <v>8430</v>
      </c>
      <c r="S178" s="7">
        <v>3749</v>
      </c>
      <c r="T178" s="7">
        <v>3147</v>
      </c>
      <c r="U178" s="7">
        <v>2731</v>
      </c>
      <c r="V178" s="7">
        <v>7048</v>
      </c>
      <c r="W178" s="7">
        <v>6380</v>
      </c>
      <c r="X178" s="7">
        <v>1986</v>
      </c>
      <c r="Y178" s="7">
        <v>4972</v>
      </c>
      <c r="Z178" s="7">
        <v>6755</v>
      </c>
      <c r="AA178" s="7">
        <v>7932</v>
      </c>
      <c r="AB178" s="7">
        <v>1312</v>
      </c>
      <c r="AC178" s="7">
        <v>336</v>
      </c>
      <c r="AD178" s="7">
        <v>219</v>
      </c>
      <c r="AE178" s="7">
        <v>8281</v>
      </c>
      <c r="AF178" s="7">
        <v>1123</v>
      </c>
      <c r="AG178" s="7">
        <v>3646</v>
      </c>
      <c r="AH178" s="7">
        <v>461</v>
      </c>
      <c r="AI178" s="7">
        <v>8929</v>
      </c>
      <c r="AJ178" s="7">
        <v>4174</v>
      </c>
      <c r="AK178" s="7">
        <v>5481</v>
      </c>
      <c r="AL178" s="7">
        <v>4987</v>
      </c>
      <c r="AM178" s="7">
        <v>839</v>
      </c>
      <c r="AN178" s="7">
        <v>7153</v>
      </c>
      <c r="AO178" s="7">
        <v>6280</v>
      </c>
      <c r="AQ178" s="7"/>
      <c r="AR178" s="7"/>
    </row>
    <row r="179" spans="1:44" x14ac:dyDescent="0.25">
      <c r="A179" s="6" t="s">
        <v>65</v>
      </c>
      <c r="B179" s="6" t="s">
        <v>221</v>
      </c>
      <c r="C179" s="6" t="s">
        <v>62</v>
      </c>
      <c r="D179" s="6" t="s">
        <v>260</v>
      </c>
      <c r="E179" s="6" t="s">
        <v>46</v>
      </c>
      <c r="F179" s="7">
        <v>9706</v>
      </c>
      <c r="G179" s="7">
        <v>5320</v>
      </c>
      <c r="H179" s="7">
        <v>7297</v>
      </c>
      <c r="I179" s="7">
        <v>6835</v>
      </c>
      <c r="J179" s="7">
        <v>1580</v>
      </c>
      <c r="K179" s="7">
        <v>5166</v>
      </c>
      <c r="L179" s="7">
        <v>8181</v>
      </c>
      <c r="M179" s="7">
        <v>2584</v>
      </c>
      <c r="N179" s="7">
        <v>4191</v>
      </c>
      <c r="O179" s="7">
        <v>7689</v>
      </c>
      <c r="P179" s="7">
        <v>2380</v>
      </c>
      <c r="Q179" s="7">
        <v>5198</v>
      </c>
      <c r="R179" s="7">
        <v>4431</v>
      </c>
      <c r="S179" s="7">
        <v>5220</v>
      </c>
      <c r="T179" s="7">
        <v>1109</v>
      </c>
      <c r="U179" s="7">
        <v>2662</v>
      </c>
      <c r="V179" s="7">
        <v>9911</v>
      </c>
      <c r="W179" s="7">
        <v>4440</v>
      </c>
      <c r="X179" s="7">
        <v>7577</v>
      </c>
      <c r="Y179" s="7">
        <v>6013</v>
      </c>
      <c r="Z179" s="7">
        <v>3929</v>
      </c>
      <c r="AA179" s="7">
        <v>5753</v>
      </c>
      <c r="AB179" s="7">
        <v>5854</v>
      </c>
      <c r="AC179" s="7">
        <v>8087</v>
      </c>
      <c r="AD179" s="7">
        <v>1344</v>
      </c>
      <c r="AE179" s="7">
        <v>1489</v>
      </c>
      <c r="AF179" s="7">
        <v>9029</v>
      </c>
      <c r="AG179" s="7">
        <v>8150</v>
      </c>
      <c r="AH179" s="7">
        <v>5563</v>
      </c>
      <c r="AI179" s="7">
        <v>4036</v>
      </c>
      <c r="AJ179" s="7">
        <v>6310</v>
      </c>
      <c r="AK179" s="7">
        <v>1769</v>
      </c>
      <c r="AL179" s="7">
        <v>4344</v>
      </c>
      <c r="AM179" s="7">
        <v>9681</v>
      </c>
      <c r="AN179" s="7">
        <v>24</v>
      </c>
      <c r="AO179" s="7">
        <v>3551</v>
      </c>
      <c r="AQ179" s="7"/>
      <c r="AR179" s="7"/>
    </row>
    <row r="180" spans="1:44" x14ac:dyDescent="0.25">
      <c r="A180" s="6" t="s">
        <v>65</v>
      </c>
      <c r="B180" s="6" t="s">
        <v>221</v>
      </c>
      <c r="C180" s="6" t="s">
        <v>66</v>
      </c>
      <c r="D180" s="6" t="s">
        <v>258</v>
      </c>
      <c r="E180" s="6" t="s">
        <v>29</v>
      </c>
      <c r="F180" s="7">
        <v>8167</v>
      </c>
      <c r="G180" s="7">
        <v>7643</v>
      </c>
      <c r="H180" s="7">
        <v>8322</v>
      </c>
      <c r="I180" s="7">
        <v>8920</v>
      </c>
      <c r="J180" s="7">
        <v>3695</v>
      </c>
      <c r="K180" s="7">
        <v>1299</v>
      </c>
      <c r="L180" s="7">
        <v>4794</v>
      </c>
      <c r="M180" s="7">
        <v>6679</v>
      </c>
      <c r="N180" s="7">
        <v>5279</v>
      </c>
      <c r="O180" s="7">
        <v>1131</v>
      </c>
      <c r="P180" s="7">
        <v>1306</v>
      </c>
      <c r="Q180" s="7">
        <v>3015</v>
      </c>
      <c r="R180" s="7">
        <v>1490</v>
      </c>
      <c r="S180" s="7">
        <v>3329</v>
      </c>
      <c r="T180" s="7">
        <v>116</v>
      </c>
      <c r="U180" s="7">
        <v>5688</v>
      </c>
      <c r="V180" s="7">
        <v>2149</v>
      </c>
      <c r="W180" s="7">
        <v>4321</v>
      </c>
      <c r="X180" s="7">
        <v>3827</v>
      </c>
      <c r="Y180" s="7">
        <v>4208</v>
      </c>
      <c r="Z180" s="7">
        <v>9431</v>
      </c>
      <c r="AA180" s="7">
        <v>896</v>
      </c>
      <c r="AB180" s="7">
        <v>5300</v>
      </c>
      <c r="AC180" s="7">
        <v>3473</v>
      </c>
      <c r="AD180" s="7">
        <v>8699</v>
      </c>
      <c r="AE180" s="7">
        <v>6835</v>
      </c>
      <c r="AF180" s="7">
        <v>5774</v>
      </c>
      <c r="AG180" s="7">
        <v>7415</v>
      </c>
      <c r="AH180" s="7">
        <v>9254</v>
      </c>
      <c r="AI180" s="7">
        <v>2676</v>
      </c>
      <c r="AJ180" s="7">
        <v>2204</v>
      </c>
      <c r="AK180" s="7">
        <v>3010</v>
      </c>
      <c r="AL180" s="7">
        <v>6194</v>
      </c>
      <c r="AM180" s="7">
        <v>1730</v>
      </c>
      <c r="AN180" s="7">
        <v>9859</v>
      </c>
      <c r="AO180" s="7">
        <v>3371</v>
      </c>
      <c r="AQ180" s="7"/>
      <c r="AR180" s="7"/>
    </row>
    <row r="181" spans="1:44" x14ac:dyDescent="0.25">
      <c r="A181" s="6" t="s">
        <v>65</v>
      </c>
      <c r="B181" s="6" t="s">
        <v>221</v>
      </c>
      <c r="C181" s="6" t="s">
        <v>78</v>
      </c>
      <c r="D181" s="6" t="s">
        <v>239</v>
      </c>
      <c r="E181" s="6" t="s">
        <v>33</v>
      </c>
      <c r="F181" s="7">
        <v>1748</v>
      </c>
      <c r="G181" s="7">
        <v>8528</v>
      </c>
      <c r="H181" s="7">
        <v>2226</v>
      </c>
      <c r="I181" s="7">
        <v>3482</v>
      </c>
      <c r="J181" s="7">
        <v>3088</v>
      </c>
      <c r="K181" s="7">
        <v>5267</v>
      </c>
      <c r="L181" s="7">
        <v>651</v>
      </c>
      <c r="M181" s="7">
        <v>2841</v>
      </c>
      <c r="N181" s="7">
        <v>4781</v>
      </c>
      <c r="O181" s="7">
        <v>4993</v>
      </c>
      <c r="P181" s="7">
        <v>2038</v>
      </c>
      <c r="Q181" s="7">
        <v>8971</v>
      </c>
      <c r="R181" s="7">
        <v>103</v>
      </c>
      <c r="S181" s="7">
        <v>9378</v>
      </c>
      <c r="T181" s="7">
        <v>1039</v>
      </c>
      <c r="U181" s="7">
        <v>9141</v>
      </c>
      <c r="V181" s="7">
        <v>1807</v>
      </c>
      <c r="W181" s="7">
        <v>18</v>
      </c>
      <c r="X181" s="7">
        <v>7365</v>
      </c>
      <c r="Y181" s="7">
        <v>6016</v>
      </c>
      <c r="Z181" s="7">
        <v>4225</v>
      </c>
      <c r="AA181" s="7">
        <v>3048</v>
      </c>
      <c r="AB181" s="7">
        <v>4015</v>
      </c>
      <c r="AC181" s="7">
        <v>5623</v>
      </c>
      <c r="AD181" s="7">
        <v>5935</v>
      </c>
      <c r="AE181" s="7">
        <v>7151</v>
      </c>
      <c r="AF181" s="7">
        <v>6176</v>
      </c>
      <c r="AG181" s="7">
        <v>1067</v>
      </c>
      <c r="AH181" s="7">
        <v>5405</v>
      </c>
      <c r="AI181" s="7">
        <v>1320</v>
      </c>
      <c r="AJ181" s="7">
        <v>9052</v>
      </c>
      <c r="AK181" s="7">
        <v>7952</v>
      </c>
      <c r="AL181" s="7">
        <v>4722</v>
      </c>
      <c r="AM181" s="7">
        <v>7117</v>
      </c>
      <c r="AN181" s="7">
        <v>6488</v>
      </c>
      <c r="AO181" s="7">
        <v>8249</v>
      </c>
      <c r="AQ181" s="7"/>
      <c r="AR181" s="7"/>
    </row>
    <row r="182" spans="1:44" x14ac:dyDescent="0.25">
      <c r="A182" s="6" t="s">
        <v>65</v>
      </c>
      <c r="B182" s="6" t="s">
        <v>221</v>
      </c>
      <c r="C182" s="6" t="s">
        <v>97</v>
      </c>
      <c r="D182" s="6" t="s">
        <v>244</v>
      </c>
      <c r="E182" s="6" t="s">
        <v>70</v>
      </c>
      <c r="F182" s="7">
        <v>9145</v>
      </c>
      <c r="G182" s="7">
        <v>7610</v>
      </c>
      <c r="H182" s="7">
        <v>8640</v>
      </c>
      <c r="I182" s="7">
        <v>7949</v>
      </c>
      <c r="J182" s="7">
        <v>8444</v>
      </c>
      <c r="K182" s="7">
        <v>1809</v>
      </c>
      <c r="L182" s="7">
        <v>702</v>
      </c>
      <c r="M182" s="7">
        <v>6539</v>
      </c>
      <c r="N182" s="7">
        <v>674</v>
      </c>
      <c r="O182" s="7">
        <v>58</v>
      </c>
      <c r="P182" s="7">
        <v>2425</v>
      </c>
      <c r="Q182" s="7">
        <v>8840</v>
      </c>
      <c r="R182" s="7">
        <v>1850</v>
      </c>
      <c r="S182" s="7">
        <v>4902</v>
      </c>
      <c r="T182" s="7">
        <v>8281</v>
      </c>
      <c r="U182" s="7">
        <v>888</v>
      </c>
      <c r="V182" s="7">
        <v>1520</v>
      </c>
      <c r="W182" s="7">
        <v>6938</v>
      </c>
      <c r="X182" s="7">
        <v>2287</v>
      </c>
      <c r="Y182" s="7">
        <v>4327</v>
      </c>
      <c r="Z182" s="7">
        <v>7420</v>
      </c>
      <c r="AA182" s="7">
        <v>2412</v>
      </c>
      <c r="AB182" s="7">
        <v>7920</v>
      </c>
      <c r="AC182" s="7">
        <v>834</v>
      </c>
      <c r="AD182" s="7">
        <v>1148</v>
      </c>
      <c r="AE182" s="7">
        <v>390</v>
      </c>
      <c r="AF182" s="7">
        <v>9390</v>
      </c>
      <c r="AG182" s="7">
        <v>350</v>
      </c>
      <c r="AH182" s="7">
        <v>1699</v>
      </c>
      <c r="AI182" s="7">
        <v>3224</v>
      </c>
      <c r="AJ182" s="7">
        <v>6477</v>
      </c>
      <c r="AK182" s="7">
        <v>4944</v>
      </c>
      <c r="AL182" s="7">
        <v>488</v>
      </c>
      <c r="AM182" s="7">
        <v>1028</v>
      </c>
      <c r="AN182" s="7">
        <v>1811</v>
      </c>
      <c r="AO182" s="7">
        <v>1674</v>
      </c>
      <c r="AQ182" s="7"/>
      <c r="AR182" s="7"/>
    </row>
    <row r="183" spans="1:44" x14ac:dyDescent="0.25">
      <c r="A183" s="6" t="s">
        <v>27</v>
      </c>
      <c r="B183" s="6" t="s">
        <v>222</v>
      </c>
      <c r="C183" s="6" t="s">
        <v>28</v>
      </c>
      <c r="D183" s="6" t="s">
        <v>264</v>
      </c>
      <c r="E183" s="6" t="s">
        <v>29</v>
      </c>
      <c r="F183" s="7">
        <v>9976</v>
      </c>
      <c r="G183" s="7">
        <v>6370</v>
      </c>
      <c r="H183" s="7">
        <v>5103</v>
      </c>
      <c r="I183" s="7">
        <v>4565</v>
      </c>
      <c r="J183" s="7">
        <v>338</v>
      </c>
      <c r="K183" s="7">
        <v>6867</v>
      </c>
      <c r="L183" s="7">
        <v>7108</v>
      </c>
      <c r="M183" s="7">
        <v>7003</v>
      </c>
      <c r="N183" s="7">
        <v>6048</v>
      </c>
      <c r="O183" s="7">
        <v>2398</v>
      </c>
      <c r="P183" s="7">
        <v>9113</v>
      </c>
      <c r="Q183" s="7">
        <v>3379</v>
      </c>
      <c r="R183" s="7">
        <v>2067</v>
      </c>
      <c r="S183" s="7">
        <v>8590</v>
      </c>
      <c r="T183" s="7">
        <v>4745</v>
      </c>
      <c r="U183" s="7">
        <v>8058</v>
      </c>
      <c r="V183" s="7">
        <v>2663</v>
      </c>
      <c r="W183" s="7">
        <v>2447</v>
      </c>
      <c r="X183" s="7">
        <v>1037</v>
      </c>
      <c r="Y183" s="7">
        <v>9758</v>
      </c>
      <c r="Z183" s="7">
        <v>9678</v>
      </c>
      <c r="AA183" s="7">
        <v>3959</v>
      </c>
      <c r="AB183" s="7">
        <v>5858</v>
      </c>
      <c r="AC183" s="7">
        <v>2439</v>
      </c>
      <c r="AD183" s="7">
        <v>6588</v>
      </c>
      <c r="AE183" s="7">
        <v>10</v>
      </c>
      <c r="AF183" s="7">
        <v>8216</v>
      </c>
      <c r="AG183" s="7">
        <v>3870</v>
      </c>
      <c r="AH183" s="7">
        <v>3333</v>
      </c>
      <c r="AI183" s="7">
        <v>4573</v>
      </c>
      <c r="AJ183" s="7">
        <v>6955</v>
      </c>
      <c r="AK183" s="7">
        <v>5217</v>
      </c>
      <c r="AL183" s="7">
        <v>7627</v>
      </c>
      <c r="AM183" s="7">
        <v>3172</v>
      </c>
      <c r="AN183" s="7">
        <v>6054</v>
      </c>
      <c r="AO183" s="7">
        <v>3977</v>
      </c>
      <c r="AQ183" s="7"/>
      <c r="AR183" s="7"/>
    </row>
    <row r="184" spans="1:44" x14ac:dyDescent="0.25">
      <c r="A184" s="6" t="s">
        <v>27</v>
      </c>
      <c r="B184" s="6" t="s">
        <v>222</v>
      </c>
      <c r="C184" s="6" t="s">
        <v>42</v>
      </c>
      <c r="D184" s="6" t="s">
        <v>263</v>
      </c>
      <c r="E184" s="6" t="s">
        <v>43</v>
      </c>
      <c r="F184" s="7">
        <v>4203</v>
      </c>
      <c r="G184" s="7">
        <v>8011</v>
      </c>
      <c r="H184" s="7">
        <v>3179</v>
      </c>
      <c r="I184" s="7">
        <v>281</v>
      </c>
      <c r="J184" s="7">
        <v>1387</v>
      </c>
      <c r="K184" s="7">
        <v>3697</v>
      </c>
      <c r="L184" s="7">
        <v>6446</v>
      </c>
      <c r="M184" s="7">
        <v>1154</v>
      </c>
      <c r="N184" s="7">
        <v>6823</v>
      </c>
      <c r="O184" s="7">
        <v>1084</v>
      </c>
      <c r="P184" s="7">
        <v>1654</v>
      </c>
      <c r="Q184" s="7">
        <v>8358</v>
      </c>
      <c r="R184" s="7">
        <v>3508</v>
      </c>
      <c r="S184" s="7">
        <v>5136</v>
      </c>
      <c r="T184" s="7">
        <v>8502</v>
      </c>
      <c r="U184" s="7">
        <v>5511</v>
      </c>
      <c r="V184" s="7">
        <v>9335</v>
      </c>
      <c r="W184" s="7">
        <v>301</v>
      </c>
      <c r="X184" s="7">
        <v>14</v>
      </c>
      <c r="Y184" s="7">
        <v>7570</v>
      </c>
      <c r="Z184" s="7">
        <v>9909</v>
      </c>
      <c r="AA184" s="7">
        <v>6047</v>
      </c>
      <c r="AB184" s="7">
        <v>3456</v>
      </c>
      <c r="AC184" s="7">
        <v>4201</v>
      </c>
      <c r="AD184" s="7">
        <v>4521</v>
      </c>
      <c r="AE184" s="7">
        <v>9106</v>
      </c>
      <c r="AF184" s="7">
        <v>6465</v>
      </c>
      <c r="AG184" s="7">
        <v>6538</v>
      </c>
      <c r="AH184" s="7">
        <v>9008</v>
      </c>
      <c r="AI184" s="7">
        <v>8943</v>
      </c>
      <c r="AJ184" s="7">
        <v>7396</v>
      </c>
      <c r="AK184" s="7">
        <v>9132</v>
      </c>
      <c r="AL184" s="7">
        <v>3412</v>
      </c>
      <c r="AM184" s="7">
        <v>4008</v>
      </c>
      <c r="AN184" s="7">
        <v>6190</v>
      </c>
      <c r="AO184" s="7">
        <v>3924</v>
      </c>
      <c r="AQ184" s="7"/>
      <c r="AR184" s="7"/>
    </row>
    <row r="185" spans="1:44" x14ac:dyDescent="0.25">
      <c r="A185" s="6" t="s">
        <v>27</v>
      </c>
      <c r="B185" s="6" t="s">
        <v>222</v>
      </c>
      <c r="C185" s="6" t="s">
        <v>72</v>
      </c>
      <c r="D185" s="6" t="s">
        <v>240</v>
      </c>
      <c r="E185" s="6" t="s">
        <v>26</v>
      </c>
      <c r="F185" s="7">
        <v>6862</v>
      </c>
      <c r="G185" s="7">
        <v>5791</v>
      </c>
      <c r="H185" s="7">
        <v>9800</v>
      </c>
      <c r="I185" s="7">
        <v>7714</v>
      </c>
      <c r="J185" s="7">
        <v>7903</v>
      </c>
      <c r="K185" s="7">
        <v>6239</v>
      </c>
      <c r="L185" s="7">
        <v>7024</v>
      </c>
      <c r="M185" s="7">
        <v>8344</v>
      </c>
      <c r="N185" s="7">
        <v>1320</v>
      </c>
      <c r="O185" s="7">
        <v>1915</v>
      </c>
      <c r="P185" s="7">
        <v>3081</v>
      </c>
      <c r="Q185" s="7">
        <v>1054</v>
      </c>
      <c r="R185" s="7">
        <v>200</v>
      </c>
      <c r="S185" s="7">
        <v>2347</v>
      </c>
      <c r="T185" s="7">
        <v>7727</v>
      </c>
      <c r="U185" s="7">
        <v>8373</v>
      </c>
      <c r="V185" s="7">
        <v>8347</v>
      </c>
      <c r="W185" s="7">
        <v>938</v>
      </c>
      <c r="X185" s="7">
        <v>2819</v>
      </c>
      <c r="Y185" s="7">
        <v>8021</v>
      </c>
      <c r="Z185" s="7">
        <v>3935</v>
      </c>
      <c r="AA185" s="7">
        <v>8402</v>
      </c>
      <c r="AB185" s="7">
        <v>4591</v>
      </c>
      <c r="AC185" s="7">
        <v>7299</v>
      </c>
      <c r="AD185" s="7">
        <v>5600</v>
      </c>
      <c r="AE185" s="7">
        <v>6435</v>
      </c>
      <c r="AF185" s="7">
        <v>1061</v>
      </c>
      <c r="AG185" s="7">
        <v>6304</v>
      </c>
      <c r="AH185" s="7">
        <v>937</v>
      </c>
      <c r="AI185" s="7">
        <v>6038</v>
      </c>
      <c r="AJ185" s="7">
        <v>5251</v>
      </c>
      <c r="AK185" s="7">
        <v>3680</v>
      </c>
      <c r="AL185" s="7">
        <v>224</v>
      </c>
      <c r="AM185" s="7">
        <v>3460</v>
      </c>
      <c r="AN185" s="7">
        <v>6339</v>
      </c>
      <c r="AO185" s="7">
        <v>7682</v>
      </c>
      <c r="AQ185" s="7"/>
      <c r="AR185" s="7"/>
    </row>
    <row r="186" spans="1:44" x14ac:dyDescent="0.25">
      <c r="A186" s="6" t="s">
        <v>27</v>
      </c>
      <c r="B186" s="6" t="s">
        <v>222</v>
      </c>
      <c r="C186" s="6" t="s">
        <v>61</v>
      </c>
      <c r="D186" s="6" t="s">
        <v>243</v>
      </c>
      <c r="E186" s="6" t="s">
        <v>59</v>
      </c>
      <c r="F186" s="7">
        <v>459</v>
      </c>
      <c r="G186" s="7">
        <v>4228</v>
      </c>
      <c r="H186" s="7">
        <v>1598</v>
      </c>
      <c r="I186" s="7">
        <v>5534</v>
      </c>
      <c r="J186" s="7">
        <v>1629</v>
      </c>
      <c r="K186" s="7">
        <v>3016</v>
      </c>
      <c r="L186" s="7">
        <v>8515</v>
      </c>
      <c r="M186" s="7">
        <v>6669</v>
      </c>
      <c r="N186" s="7">
        <v>5503</v>
      </c>
      <c r="O186" s="7">
        <v>5743</v>
      </c>
      <c r="P186" s="7">
        <v>1316</v>
      </c>
      <c r="Q186" s="7">
        <v>2596</v>
      </c>
      <c r="R186" s="7">
        <v>3996</v>
      </c>
      <c r="S186" s="7">
        <v>8591</v>
      </c>
      <c r="T186" s="7">
        <v>9909</v>
      </c>
      <c r="U186" s="7">
        <v>7628</v>
      </c>
      <c r="V186" s="7">
        <v>2186</v>
      </c>
      <c r="W186" s="7">
        <v>7227</v>
      </c>
      <c r="X186" s="7">
        <v>6050</v>
      </c>
      <c r="Y186" s="7">
        <v>6487</v>
      </c>
      <c r="Z186" s="7">
        <v>9235</v>
      </c>
      <c r="AA186" s="7">
        <v>7863</v>
      </c>
      <c r="AB186" s="7">
        <v>6411</v>
      </c>
      <c r="AC186" s="7">
        <v>6383</v>
      </c>
      <c r="AD186" s="7">
        <v>2269</v>
      </c>
      <c r="AE186" s="7">
        <v>6882</v>
      </c>
      <c r="AF186" s="7">
        <v>4610</v>
      </c>
      <c r="AG186" s="7">
        <v>9064</v>
      </c>
      <c r="AH186" s="7">
        <v>6240</v>
      </c>
      <c r="AI186" s="7">
        <v>2573</v>
      </c>
      <c r="AJ186" s="7">
        <v>1681</v>
      </c>
      <c r="AK186" s="7">
        <v>1637</v>
      </c>
      <c r="AL186" s="7">
        <v>8981</v>
      </c>
      <c r="AM186" s="7">
        <v>5846</v>
      </c>
      <c r="AN186" s="7">
        <v>1242</v>
      </c>
      <c r="AO186" s="7">
        <v>2334</v>
      </c>
      <c r="AQ186" s="7"/>
      <c r="AR186" s="7"/>
    </row>
    <row r="187" spans="1:44" x14ac:dyDescent="0.25">
      <c r="A187" s="6" t="s">
        <v>27</v>
      </c>
      <c r="B187" s="6" t="s">
        <v>222</v>
      </c>
      <c r="C187" s="6" t="s">
        <v>72</v>
      </c>
      <c r="D187" s="6" t="s">
        <v>240</v>
      </c>
      <c r="E187" s="6" t="s">
        <v>26</v>
      </c>
      <c r="F187" s="7">
        <v>3427</v>
      </c>
      <c r="G187" s="7">
        <v>4947</v>
      </c>
      <c r="H187" s="7">
        <v>5067</v>
      </c>
      <c r="I187" s="7">
        <v>4755</v>
      </c>
      <c r="J187" s="7">
        <v>1360</v>
      </c>
      <c r="K187" s="7">
        <v>9850</v>
      </c>
      <c r="L187" s="7">
        <v>4812</v>
      </c>
      <c r="M187" s="7">
        <v>1925</v>
      </c>
      <c r="N187" s="7">
        <v>7209</v>
      </c>
      <c r="O187" s="7">
        <v>5128</v>
      </c>
      <c r="P187" s="7">
        <v>7470</v>
      </c>
      <c r="Q187" s="7">
        <v>2790</v>
      </c>
      <c r="R187" s="7">
        <v>2422</v>
      </c>
      <c r="S187" s="7">
        <v>4376</v>
      </c>
      <c r="T187" s="7">
        <v>5892</v>
      </c>
      <c r="U187" s="7">
        <v>1132</v>
      </c>
      <c r="V187" s="7">
        <v>6376</v>
      </c>
      <c r="W187" s="7">
        <v>848</v>
      </c>
      <c r="X187" s="7">
        <v>7309</v>
      </c>
      <c r="Y187" s="7">
        <v>118</v>
      </c>
      <c r="Z187" s="7">
        <v>9912</v>
      </c>
      <c r="AA187" s="7">
        <v>455</v>
      </c>
      <c r="AB187" s="7">
        <v>2365</v>
      </c>
      <c r="AC187" s="7">
        <v>9349</v>
      </c>
      <c r="AD187" s="7">
        <v>170</v>
      </c>
      <c r="AE187" s="7">
        <v>7316</v>
      </c>
      <c r="AF187" s="7">
        <v>1030</v>
      </c>
      <c r="AG187" s="7">
        <v>4138</v>
      </c>
      <c r="AH187" s="7">
        <v>3855</v>
      </c>
      <c r="AI187" s="7">
        <v>5778</v>
      </c>
      <c r="AJ187" s="7">
        <v>222</v>
      </c>
      <c r="AK187" s="7">
        <v>2626</v>
      </c>
      <c r="AL187" s="7">
        <v>5466</v>
      </c>
      <c r="AM187" s="7">
        <v>5769</v>
      </c>
      <c r="AN187" s="7">
        <v>4041</v>
      </c>
      <c r="AO187" s="7">
        <v>4752</v>
      </c>
      <c r="AQ187" s="7"/>
      <c r="AR187" s="7"/>
    </row>
    <row r="188" spans="1:44" x14ac:dyDescent="0.25">
      <c r="A188" s="6" t="s">
        <v>27</v>
      </c>
      <c r="B188" s="6" t="s">
        <v>222</v>
      </c>
      <c r="C188" s="6" t="s">
        <v>32</v>
      </c>
      <c r="D188" s="6" t="s">
        <v>256</v>
      </c>
      <c r="E188" s="6" t="s">
        <v>33</v>
      </c>
      <c r="F188" s="7">
        <v>7182</v>
      </c>
      <c r="G188" s="7">
        <v>4860</v>
      </c>
      <c r="H188" s="7">
        <v>1409</v>
      </c>
      <c r="I188" s="7">
        <v>2634</v>
      </c>
      <c r="J188" s="7">
        <v>7510</v>
      </c>
      <c r="K188" s="7">
        <v>9596</v>
      </c>
      <c r="L188" s="7">
        <v>7911</v>
      </c>
      <c r="M188" s="7">
        <v>6779</v>
      </c>
      <c r="N188" s="7">
        <v>3750</v>
      </c>
      <c r="O188" s="7">
        <v>3930</v>
      </c>
      <c r="P188" s="7">
        <v>944</v>
      </c>
      <c r="Q188" s="7">
        <v>3701</v>
      </c>
      <c r="R188" s="7">
        <v>819</v>
      </c>
      <c r="S188" s="7">
        <v>2476</v>
      </c>
      <c r="T188" s="7">
        <v>4868</v>
      </c>
      <c r="U188" s="7">
        <v>2440</v>
      </c>
      <c r="V188" s="7">
        <v>803</v>
      </c>
      <c r="W188" s="7">
        <v>5520</v>
      </c>
      <c r="X188" s="7">
        <v>7735</v>
      </c>
      <c r="Y188" s="7">
        <v>1651</v>
      </c>
      <c r="Z188" s="7">
        <v>5193</v>
      </c>
      <c r="AA188" s="7">
        <v>4409</v>
      </c>
      <c r="AB188" s="7">
        <v>8421</v>
      </c>
      <c r="AC188" s="7">
        <v>4494</v>
      </c>
      <c r="AD188" s="7">
        <v>5729</v>
      </c>
      <c r="AE188" s="7">
        <v>2951</v>
      </c>
      <c r="AF188" s="7">
        <v>2643</v>
      </c>
      <c r="AG188" s="7">
        <v>735</v>
      </c>
      <c r="AH188" s="7">
        <v>401</v>
      </c>
      <c r="AI188" s="7">
        <v>2518</v>
      </c>
      <c r="AJ188" s="7">
        <v>6993</v>
      </c>
      <c r="AK188" s="7">
        <v>277</v>
      </c>
      <c r="AL188" s="7">
        <v>3826</v>
      </c>
      <c r="AM188" s="7">
        <v>1189</v>
      </c>
      <c r="AN188" s="7">
        <v>8605</v>
      </c>
      <c r="AO188" s="7">
        <v>5785</v>
      </c>
      <c r="AQ188" s="7"/>
      <c r="AR188" s="7"/>
    </row>
    <row r="189" spans="1:44" x14ac:dyDescent="0.25">
      <c r="A189" s="6" t="s">
        <v>87</v>
      </c>
      <c r="B189" s="6" t="s">
        <v>223</v>
      </c>
      <c r="C189" s="6" t="s">
        <v>114</v>
      </c>
      <c r="D189" s="6" t="s">
        <v>265</v>
      </c>
      <c r="E189" s="6" t="s">
        <v>46</v>
      </c>
      <c r="F189" s="7">
        <v>996</v>
      </c>
      <c r="G189" s="7">
        <v>8400</v>
      </c>
      <c r="H189" s="7">
        <v>4082</v>
      </c>
      <c r="I189" s="7">
        <v>8277</v>
      </c>
      <c r="J189" s="7">
        <v>6026</v>
      </c>
      <c r="K189" s="7">
        <v>5882</v>
      </c>
      <c r="L189" s="7">
        <v>592</v>
      </c>
      <c r="M189" s="7">
        <v>5408</v>
      </c>
      <c r="N189" s="7">
        <v>5247</v>
      </c>
      <c r="O189" s="7">
        <v>1371</v>
      </c>
      <c r="P189" s="7">
        <v>7009</v>
      </c>
      <c r="Q189" s="7">
        <v>9333</v>
      </c>
      <c r="R189" s="7">
        <v>5272</v>
      </c>
      <c r="S189" s="7">
        <v>4541</v>
      </c>
      <c r="T189" s="7">
        <v>8426</v>
      </c>
      <c r="U189" s="7">
        <v>9939</v>
      </c>
      <c r="V189" s="7">
        <v>656</v>
      </c>
      <c r="W189" s="7">
        <v>8580</v>
      </c>
      <c r="X189" s="7">
        <v>7363</v>
      </c>
      <c r="Y189" s="7">
        <v>3983</v>
      </c>
      <c r="Z189" s="7">
        <v>2631</v>
      </c>
      <c r="AA189" s="7">
        <v>1057</v>
      </c>
      <c r="AB189" s="7">
        <v>7241</v>
      </c>
      <c r="AC189" s="7">
        <v>1986</v>
      </c>
      <c r="AD189" s="7">
        <v>1398</v>
      </c>
      <c r="AE189" s="7">
        <v>3257</v>
      </c>
      <c r="AF189" s="7">
        <v>7234</v>
      </c>
      <c r="AG189" s="7">
        <v>9508</v>
      </c>
      <c r="AH189" s="7">
        <v>1339</v>
      </c>
      <c r="AI189" s="7">
        <v>6660</v>
      </c>
      <c r="AJ189" s="7">
        <v>569</v>
      </c>
      <c r="AK189" s="7">
        <v>9281</v>
      </c>
      <c r="AL189" s="7">
        <v>9703</v>
      </c>
      <c r="AM189" s="7">
        <v>2492</v>
      </c>
      <c r="AN189" s="7">
        <v>3323</v>
      </c>
      <c r="AO189" s="7">
        <v>9418</v>
      </c>
      <c r="AQ189" s="7"/>
      <c r="AR189" s="7"/>
    </row>
    <row r="190" spans="1:44" x14ac:dyDescent="0.25">
      <c r="A190" s="6" t="s">
        <v>87</v>
      </c>
      <c r="B190" s="6" t="s">
        <v>223</v>
      </c>
      <c r="C190" s="6" t="s">
        <v>127</v>
      </c>
      <c r="D190" s="6" t="s">
        <v>250</v>
      </c>
      <c r="E190" s="6" t="s">
        <v>46</v>
      </c>
      <c r="F190" s="7">
        <v>5442</v>
      </c>
      <c r="G190" s="7">
        <v>973</v>
      </c>
      <c r="H190" s="7">
        <v>473</v>
      </c>
      <c r="I190" s="7">
        <v>9949</v>
      </c>
      <c r="J190" s="7">
        <v>3638</v>
      </c>
      <c r="K190" s="7">
        <v>5573</v>
      </c>
      <c r="L190" s="7">
        <v>2719</v>
      </c>
      <c r="M190" s="7">
        <v>6936</v>
      </c>
      <c r="N190" s="7">
        <v>8679</v>
      </c>
      <c r="O190" s="7">
        <v>6809</v>
      </c>
      <c r="P190" s="7">
        <v>4303</v>
      </c>
      <c r="Q190" s="7">
        <v>5109</v>
      </c>
      <c r="R190" s="7">
        <v>5268</v>
      </c>
      <c r="S190" s="7">
        <v>7641</v>
      </c>
      <c r="T190" s="7">
        <v>6873</v>
      </c>
      <c r="U190" s="7">
        <v>1309</v>
      </c>
      <c r="V190" s="7">
        <v>6510</v>
      </c>
      <c r="W190" s="7">
        <v>3772</v>
      </c>
      <c r="X190" s="7">
        <v>9623</v>
      </c>
      <c r="Y190" s="7">
        <v>5558</v>
      </c>
      <c r="Z190" s="7">
        <v>1725</v>
      </c>
      <c r="AA190" s="7">
        <v>529</v>
      </c>
      <c r="AB190" s="7">
        <v>7395</v>
      </c>
      <c r="AC190" s="7">
        <v>9126</v>
      </c>
      <c r="AD190" s="7">
        <v>359</v>
      </c>
      <c r="AE190" s="7">
        <v>6681</v>
      </c>
      <c r="AF190" s="7">
        <v>252</v>
      </c>
      <c r="AG190" s="7">
        <v>2940</v>
      </c>
      <c r="AH190" s="7">
        <v>7393</v>
      </c>
      <c r="AI190" s="7">
        <v>3375</v>
      </c>
      <c r="AJ190" s="7">
        <v>2854</v>
      </c>
      <c r="AK190" s="7">
        <v>5384</v>
      </c>
      <c r="AL190" s="7">
        <v>9515</v>
      </c>
      <c r="AM190" s="7">
        <v>6166</v>
      </c>
      <c r="AN190" s="7">
        <v>7558</v>
      </c>
      <c r="AO190" s="7">
        <v>9161</v>
      </c>
      <c r="AQ190" s="7"/>
      <c r="AR190" s="7"/>
    </row>
    <row r="191" spans="1:44" x14ac:dyDescent="0.25">
      <c r="A191" s="6" t="s">
        <v>87</v>
      </c>
      <c r="B191" s="6" t="s">
        <v>223</v>
      </c>
      <c r="C191" s="6" t="s">
        <v>127</v>
      </c>
      <c r="D191" s="6" t="s">
        <v>250</v>
      </c>
      <c r="E191" s="6" t="s">
        <v>46</v>
      </c>
      <c r="F191" s="7">
        <v>302</v>
      </c>
      <c r="G191" s="7">
        <v>9962</v>
      </c>
      <c r="H191" s="7">
        <v>1363</v>
      </c>
      <c r="I191" s="7">
        <v>7977</v>
      </c>
      <c r="J191" s="7">
        <v>2557</v>
      </c>
      <c r="K191" s="7">
        <v>2018</v>
      </c>
      <c r="L191" s="7">
        <v>4977</v>
      </c>
      <c r="M191" s="7">
        <v>1470</v>
      </c>
      <c r="N191" s="7">
        <v>9672</v>
      </c>
      <c r="O191" s="7">
        <v>5304</v>
      </c>
      <c r="P191" s="7">
        <v>5258</v>
      </c>
      <c r="Q191" s="7">
        <v>9721</v>
      </c>
      <c r="R191" s="7">
        <v>9629</v>
      </c>
      <c r="S191" s="7">
        <v>8712</v>
      </c>
      <c r="T191" s="7">
        <v>1654</v>
      </c>
      <c r="U191" s="7">
        <v>2779</v>
      </c>
      <c r="V191" s="7">
        <v>4006</v>
      </c>
      <c r="W191" s="7">
        <v>6159</v>
      </c>
      <c r="X191" s="7">
        <v>1151</v>
      </c>
      <c r="Y191" s="7">
        <v>9390</v>
      </c>
      <c r="Z191" s="7">
        <v>5717</v>
      </c>
      <c r="AA191" s="7">
        <v>454</v>
      </c>
      <c r="AB191" s="7">
        <v>3300</v>
      </c>
      <c r="AC191" s="7">
        <v>8407</v>
      </c>
      <c r="AD191" s="7">
        <v>847</v>
      </c>
      <c r="AE191" s="7">
        <v>2574</v>
      </c>
      <c r="AF191" s="7">
        <v>4062</v>
      </c>
      <c r="AG191" s="7">
        <v>8369</v>
      </c>
      <c r="AH191" s="7">
        <v>6927</v>
      </c>
      <c r="AI191" s="7">
        <v>550</v>
      </c>
      <c r="AJ191" s="7">
        <v>1964</v>
      </c>
      <c r="AK191" s="7">
        <v>9051</v>
      </c>
      <c r="AL191" s="7">
        <v>920</v>
      </c>
      <c r="AM191" s="7">
        <v>5574</v>
      </c>
      <c r="AN191" s="7">
        <v>2273</v>
      </c>
      <c r="AO191" s="7">
        <v>3001</v>
      </c>
      <c r="AQ191" s="7"/>
      <c r="AR191" s="7"/>
    </row>
    <row r="192" spans="1:44" x14ac:dyDescent="0.25">
      <c r="A192" s="6" t="s">
        <v>87</v>
      </c>
      <c r="B192" s="6" t="s">
        <v>223</v>
      </c>
      <c r="C192" s="6" t="s">
        <v>69</v>
      </c>
      <c r="D192" s="6" t="s">
        <v>231</v>
      </c>
      <c r="E192" s="6" t="s">
        <v>70</v>
      </c>
      <c r="F192" s="7">
        <v>7759</v>
      </c>
      <c r="G192" s="7">
        <v>848</v>
      </c>
      <c r="H192" s="7">
        <v>1230</v>
      </c>
      <c r="I192" s="7">
        <v>4078</v>
      </c>
      <c r="J192" s="7">
        <v>5576</v>
      </c>
      <c r="K192" s="7">
        <v>1731</v>
      </c>
      <c r="L192" s="7">
        <v>2877</v>
      </c>
      <c r="M192" s="7">
        <v>3090</v>
      </c>
      <c r="N192" s="7">
        <v>2821</v>
      </c>
      <c r="O192" s="7">
        <v>3702</v>
      </c>
      <c r="P192" s="7">
        <v>4291</v>
      </c>
      <c r="Q192" s="7">
        <v>3390</v>
      </c>
      <c r="R192" s="7">
        <v>6651</v>
      </c>
      <c r="S192" s="7">
        <v>1142</v>
      </c>
      <c r="T192" s="7">
        <v>7409</v>
      </c>
      <c r="U192" s="7">
        <v>6280</v>
      </c>
      <c r="V192" s="7">
        <v>7777</v>
      </c>
      <c r="W192" s="7">
        <v>7580</v>
      </c>
      <c r="X192" s="7">
        <v>6810</v>
      </c>
      <c r="Y192" s="7">
        <v>5630</v>
      </c>
      <c r="Z192" s="7">
        <v>3929</v>
      </c>
      <c r="AA192" s="7">
        <v>399</v>
      </c>
      <c r="AB192" s="7">
        <v>3596</v>
      </c>
      <c r="AC192" s="7">
        <v>7956</v>
      </c>
      <c r="AD192" s="7">
        <v>6136</v>
      </c>
      <c r="AE192" s="7">
        <v>2309</v>
      </c>
      <c r="AF192" s="7">
        <v>9271</v>
      </c>
      <c r="AG192" s="7">
        <v>2542</v>
      </c>
      <c r="AH192" s="7">
        <v>5103</v>
      </c>
      <c r="AI192" s="7">
        <v>2580</v>
      </c>
      <c r="AJ192" s="7">
        <v>6380</v>
      </c>
      <c r="AK192" s="7">
        <v>2704</v>
      </c>
      <c r="AL192" s="7">
        <v>9706</v>
      </c>
      <c r="AM192" s="7">
        <v>3571</v>
      </c>
      <c r="AN192" s="7">
        <v>792</v>
      </c>
      <c r="AO192" s="7">
        <v>8981</v>
      </c>
      <c r="AQ192" s="7"/>
      <c r="AR192" s="7"/>
    </row>
    <row r="193" spans="1:44" x14ac:dyDescent="0.25">
      <c r="A193" s="6" t="s">
        <v>87</v>
      </c>
      <c r="B193" s="6" t="s">
        <v>223</v>
      </c>
      <c r="C193" s="6" t="s">
        <v>78</v>
      </c>
      <c r="D193" s="6" t="s">
        <v>239</v>
      </c>
      <c r="E193" s="6" t="s">
        <v>33</v>
      </c>
      <c r="F193" s="7">
        <v>5294</v>
      </c>
      <c r="G193" s="7">
        <v>4718</v>
      </c>
      <c r="H193" s="7">
        <v>4662</v>
      </c>
      <c r="I193" s="7">
        <v>9514</v>
      </c>
      <c r="J193" s="7">
        <v>3410</v>
      </c>
      <c r="K193" s="7">
        <v>4939</v>
      </c>
      <c r="L193" s="7">
        <v>5432</v>
      </c>
      <c r="M193" s="7">
        <v>1271</v>
      </c>
      <c r="N193" s="7">
        <v>347</v>
      </c>
      <c r="O193" s="7">
        <v>2409</v>
      </c>
      <c r="P193" s="7">
        <v>2936</v>
      </c>
      <c r="Q193" s="7">
        <v>2136</v>
      </c>
      <c r="R193" s="7">
        <v>1948</v>
      </c>
      <c r="S193" s="7">
        <v>9763</v>
      </c>
      <c r="T193" s="7">
        <v>4845</v>
      </c>
      <c r="U193" s="7">
        <v>3916</v>
      </c>
      <c r="V193" s="7">
        <v>6687</v>
      </c>
      <c r="W193" s="7">
        <v>3923</v>
      </c>
      <c r="X193" s="7">
        <v>2583</v>
      </c>
      <c r="Y193" s="7">
        <v>6068</v>
      </c>
      <c r="Z193" s="7">
        <v>8962</v>
      </c>
      <c r="AA193" s="7">
        <v>1162</v>
      </c>
      <c r="AB193" s="7">
        <v>2948</v>
      </c>
      <c r="AC193" s="7">
        <v>9724</v>
      </c>
      <c r="AD193" s="7">
        <v>6058</v>
      </c>
      <c r="AE193" s="7">
        <v>3482</v>
      </c>
      <c r="AF193" s="7">
        <v>3027</v>
      </c>
      <c r="AG193" s="7">
        <v>7682</v>
      </c>
      <c r="AH193" s="7">
        <v>3243</v>
      </c>
      <c r="AI193" s="7">
        <v>4297</v>
      </c>
      <c r="AJ193" s="7">
        <v>1325</v>
      </c>
      <c r="AK193" s="7">
        <v>1508</v>
      </c>
      <c r="AL193" s="7">
        <v>5936</v>
      </c>
      <c r="AM193" s="7">
        <v>8802</v>
      </c>
      <c r="AN193" s="7">
        <v>2773</v>
      </c>
      <c r="AO193" s="7">
        <v>8444</v>
      </c>
      <c r="AQ193" s="7"/>
      <c r="AR193" s="7"/>
    </row>
    <row r="194" spans="1:44" x14ac:dyDescent="0.25">
      <c r="A194" s="6" t="s">
        <v>68</v>
      </c>
      <c r="B194" s="6" t="s">
        <v>224</v>
      </c>
      <c r="C194" s="6" t="s">
        <v>69</v>
      </c>
      <c r="D194" s="6" t="s">
        <v>231</v>
      </c>
      <c r="E194" s="6" t="s">
        <v>70</v>
      </c>
      <c r="F194" s="7">
        <v>5546</v>
      </c>
      <c r="G194" s="7">
        <v>9115</v>
      </c>
      <c r="H194" s="7">
        <v>7719</v>
      </c>
      <c r="I194" s="7">
        <v>9309</v>
      </c>
      <c r="J194" s="7">
        <v>38</v>
      </c>
      <c r="K194" s="7">
        <v>8833</v>
      </c>
      <c r="L194" s="7">
        <v>5778</v>
      </c>
      <c r="M194" s="7">
        <v>2036</v>
      </c>
      <c r="N194" s="7">
        <v>48</v>
      </c>
      <c r="O194" s="7">
        <v>8835</v>
      </c>
      <c r="P194" s="7">
        <v>1066</v>
      </c>
      <c r="Q194" s="7">
        <v>7452</v>
      </c>
      <c r="R194" s="7">
        <v>9356</v>
      </c>
      <c r="S194" s="7">
        <v>2543</v>
      </c>
      <c r="T194" s="7">
        <v>4314</v>
      </c>
      <c r="U194" s="7">
        <v>7348</v>
      </c>
      <c r="V194" s="7">
        <v>8284</v>
      </c>
      <c r="W194" s="7">
        <v>903</v>
      </c>
      <c r="X194" s="7">
        <v>321</v>
      </c>
      <c r="Y194" s="7">
        <v>1872</v>
      </c>
      <c r="Z194" s="7">
        <v>4774</v>
      </c>
      <c r="AA194" s="7">
        <v>6859</v>
      </c>
      <c r="AB194" s="7">
        <v>8142</v>
      </c>
      <c r="AC194" s="7">
        <v>2508</v>
      </c>
      <c r="AD194" s="7">
        <v>4229</v>
      </c>
      <c r="AE194" s="7">
        <v>5189</v>
      </c>
      <c r="AF194" s="7">
        <v>5724</v>
      </c>
      <c r="AG194" s="7">
        <v>4332</v>
      </c>
      <c r="AH194" s="7">
        <v>6785</v>
      </c>
      <c r="AI194" s="7">
        <v>9143</v>
      </c>
      <c r="AJ194" s="7">
        <v>1406</v>
      </c>
      <c r="AK194" s="7">
        <v>5206</v>
      </c>
      <c r="AL194" s="7">
        <v>4232</v>
      </c>
      <c r="AM194" s="7">
        <v>8878</v>
      </c>
      <c r="AN194" s="7">
        <v>1918</v>
      </c>
      <c r="AO194" s="7">
        <v>8736</v>
      </c>
      <c r="AQ194" s="7"/>
      <c r="AR194" s="7"/>
    </row>
    <row r="195" spans="1:44" x14ac:dyDescent="0.25">
      <c r="A195" s="6" t="s">
        <v>103</v>
      </c>
      <c r="B195" s="6" t="s">
        <v>225</v>
      </c>
      <c r="C195" s="6" t="s">
        <v>85</v>
      </c>
      <c r="D195" s="6" t="s">
        <v>235</v>
      </c>
      <c r="E195" s="6" t="s">
        <v>26</v>
      </c>
      <c r="F195" s="7">
        <v>3885</v>
      </c>
      <c r="G195" s="7">
        <v>7056</v>
      </c>
      <c r="H195" s="7">
        <v>9842</v>
      </c>
      <c r="I195" s="7">
        <v>1784</v>
      </c>
      <c r="J195" s="7">
        <v>7159</v>
      </c>
      <c r="K195" s="7">
        <v>8749</v>
      </c>
      <c r="L195" s="7">
        <v>6027</v>
      </c>
      <c r="M195" s="7">
        <v>3649</v>
      </c>
      <c r="N195" s="7">
        <v>9386</v>
      </c>
      <c r="O195" s="7">
        <v>3712</v>
      </c>
      <c r="P195" s="7">
        <v>8427</v>
      </c>
      <c r="Q195" s="7">
        <v>8378</v>
      </c>
      <c r="R195" s="7">
        <v>3522</v>
      </c>
      <c r="S195" s="7">
        <v>9592</v>
      </c>
      <c r="T195" s="7">
        <v>4928</v>
      </c>
      <c r="U195" s="7">
        <v>6748</v>
      </c>
      <c r="V195" s="7">
        <v>2883</v>
      </c>
      <c r="W195" s="7">
        <v>5822</v>
      </c>
      <c r="X195" s="7">
        <v>6149</v>
      </c>
      <c r="Y195" s="7">
        <v>5915</v>
      </c>
      <c r="Z195" s="7">
        <v>6795</v>
      </c>
      <c r="AA195" s="7">
        <v>7286</v>
      </c>
      <c r="AB195" s="7">
        <v>8685</v>
      </c>
      <c r="AC195" s="7">
        <v>2010</v>
      </c>
      <c r="AD195" s="7">
        <v>8489</v>
      </c>
      <c r="AE195" s="7">
        <v>5114</v>
      </c>
      <c r="AF195" s="7">
        <v>4685</v>
      </c>
      <c r="AG195" s="7">
        <v>5756</v>
      </c>
      <c r="AH195" s="7">
        <v>4559</v>
      </c>
      <c r="AI195" s="7">
        <v>7577</v>
      </c>
      <c r="AJ195" s="7">
        <v>2861</v>
      </c>
      <c r="AK195" s="7">
        <v>9219</v>
      </c>
      <c r="AL195" s="7">
        <v>7019</v>
      </c>
      <c r="AM195" s="7">
        <v>8805</v>
      </c>
      <c r="AN195" s="7">
        <v>2054</v>
      </c>
      <c r="AO195" s="7">
        <v>8</v>
      </c>
      <c r="AQ195" s="7"/>
      <c r="AR195" s="7"/>
    </row>
    <row r="196" spans="1:44" x14ac:dyDescent="0.25">
      <c r="A196" s="6" t="s">
        <v>103</v>
      </c>
      <c r="B196" s="6" t="s">
        <v>225</v>
      </c>
      <c r="C196" s="6" t="s">
        <v>58</v>
      </c>
      <c r="D196" s="6" t="s">
        <v>229</v>
      </c>
      <c r="E196" s="6" t="s">
        <v>59</v>
      </c>
      <c r="F196" s="7">
        <v>6347</v>
      </c>
      <c r="G196" s="7">
        <v>2697</v>
      </c>
      <c r="H196" s="7">
        <v>2502</v>
      </c>
      <c r="I196" s="7">
        <v>9381</v>
      </c>
      <c r="J196" s="7">
        <v>9905</v>
      </c>
      <c r="K196" s="7">
        <v>3359</v>
      </c>
      <c r="L196" s="7">
        <v>4918</v>
      </c>
      <c r="M196" s="7">
        <v>3906</v>
      </c>
      <c r="N196" s="7">
        <v>8656</v>
      </c>
      <c r="O196" s="7">
        <v>9045</v>
      </c>
      <c r="P196" s="7">
        <v>5643</v>
      </c>
      <c r="Q196" s="7">
        <v>2059</v>
      </c>
      <c r="R196" s="7">
        <v>6458</v>
      </c>
      <c r="S196" s="7">
        <v>2542</v>
      </c>
      <c r="T196" s="7">
        <v>2601</v>
      </c>
      <c r="U196" s="7">
        <v>3029</v>
      </c>
      <c r="V196" s="7">
        <v>2747</v>
      </c>
      <c r="W196" s="7">
        <v>6169</v>
      </c>
      <c r="X196" s="7">
        <v>9075</v>
      </c>
      <c r="Y196" s="7">
        <v>6736</v>
      </c>
      <c r="Z196" s="7">
        <v>8619</v>
      </c>
      <c r="AA196" s="7">
        <v>3147</v>
      </c>
      <c r="AB196" s="7">
        <v>5182</v>
      </c>
      <c r="AC196" s="7">
        <v>9432</v>
      </c>
      <c r="AD196" s="7">
        <v>1016</v>
      </c>
      <c r="AE196" s="7">
        <v>7235</v>
      </c>
      <c r="AF196" s="7">
        <v>328</v>
      </c>
      <c r="AG196" s="7">
        <v>907</v>
      </c>
      <c r="AH196" s="7">
        <v>740</v>
      </c>
      <c r="AI196" s="7">
        <v>3461</v>
      </c>
      <c r="AJ196" s="7">
        <v>6031</v>
      </c>
      <c r="AK196" s="7">
        <v>4144</v>
      </c>
      <c r="AL196" s="7">
        <v>7291</v>
      </c>
      <c r="AM196" s="7">
        <v>4753</v>
      </c>
      <c r="AN196" s="7">
        <v>2001</v>
      </c>
      <c r="AO196" s="7">
        <v>8290</v>
      </c>
      <c r="AQ196" s="7"/>
      <c r="AR196" s="7"/>
    </row>
    <row r="197" spans="1:44" x14ac:dyDescent="0.25">
      <c r="A197" s="6" t="s">
        <v>37</v>
      </c>
      <c r="B197" s="6" t="s">
        <v>226</v>
      </c>
      <c r="C197" s="6" t="s">
        <v>38</v>
      </c>
      <c r="D197" s="6" t="s">
        <v>245</v>
      </c>
      <c r="E197" s="6" t="s">
        <v>36</v>
      </c>
      <c r="F197" s="7">
        <v>8770</v>
      </c>
      <c r="G197" s="7">
        <v>3800</v>
      </c>
      <c r="H197" s="7">
        <v>8009</v>
      </c>
      <c r="I197" s="7">
        <v>8367</v>
      </c>
      <c r="J197" s="7">
        <v>5234</v>
      </c>
      <c r="K197" s="7">
        <v>8183</v>
      </c>
      <c r="L197" s="7">
        <v>2495</v>
      </c>
      <c r="M197" s="7">
        <v>6208</v>
      </c>
      <c r="N197" s="7">
        <v>2687</v>
      </c>
      <c r="O197" s="7">
        <v>8420</v>
      </c>
      <c r="P197" s="7">
        <v>9368</v>
      </c>
      <c r="Q197" s="7">
        <v>2232</v>
      </c>
      <c r="R197" s="7">
        <v>9824</v>
      </c>
      <c r="S197" s="7">
        <v>3673</v>
      </c>
      <c r="T197" s="7">
        <v>6938</v>
      </c>
      <c r="U197" s="7">
        <v>4978</v>
      </c>
      <c r="V197" s="7">
        <v>6687</v>
      </c>
      <c r="W197" s="7">
        <v>366</v>
      </c>
      <c r="X197" s="7">
        <v>5754</v>
      </c>
      <c r="Y197" s="7">
        <v>281</v>
      </c>
      <c r="Z197" s="7">
        <v>5451</v>
      </c>
      <c r="AA197" s="7">
        <v>9389</v>
      </c>
      <c r="AB197" s="7">
        <v>2357</v>
      </c>
      <c r="AC197" s="7">
        <v>2359</v>
      </c>
      <c r="AD197" s="7">
        <v>9302</v>
      </c>
      <c r="AE197" s="7">
        <v>8555</v>
      </c>
      <c r="AF197" s="7">
        <v>5932</v>
      </c>
      <c r="AG197" s="7">
        <v>283</v>
      </c>
      <c r="AH197" s="7">
        <v>8340</v>
      </c>
      <c r="AI197" s="7">
        <v>9842</v>
      </c>
      <c r="AJ197" s="7">
        <v>7531</v>
      </c>
      <c r="AK197" s="7">
        <v>4535</v>
      </c>
      <c r="AL197" s="7">
        <v>5714</v>
      </c>
      <c r="AM197" s="7">
        <v>8690</v>
      </c>
      <c r="AN197" s="7">
        <v>7240</v>
      </c>
      <c r="AO197" s="7">
        <v>3805</v>
      </c>
      <c r="AQ197" s="7"/>
      <c r="AR197" s="7"/>
    </row>
    <row r="198" spans="1:44" x14ac:dyDescent="0.25">
      <c r="A198" s="6" t="s">
        <v>37</v>
      </c>
      <c r="B198" s="6" t="s">
        <v>226</v>
      </c>
      <c r="C198" s="6" t="s">
        <v>62</v>
      </c>
      <c r="D198" s="6" t="s">
        <v>260</v>
      </c>
      <c r="E198" s="6" t="s">
        <v>46</v>
      </c>
      <c r="F198" s="7">
        <v>5929</v>
      </c>
      <c r="G198" s="7">
        <v>5798</v>
      </c>
      <c r="H198" s="7">
        <v>3889</v>
      </c>
      <c r="I198" s="7">
        <v>4660</v>
      </c>
      <c r="J198" s="7">
        <v>9566</v>
      </c>
      <c r="K198" s="7">
        <v>5404</v>
      </c>
      <c r="L198" s="7">
        <v>4213</v>
      </c>
      <c r="M198" s="7">
        <v>2893</v>
      </c>
      <c r="N198" s="7">
        <v>4335</v>
      </c>
      <c r="O198" s="7">
        <v>4673</v>
      </c>
      <c r="P198" s="7">
        <v>3724</v>
      </c>
      <c r="Q198" s="7">
        <v>1322</v>
      </c>
      <c r="R198" s="7">
        <v>7868</v>
      </c>
      <c r="S198" s="7">
        <v>170</v>
      </c>
      <c r="T198" s="7">
        <v>6970</v>
      </c>
      <c r="U198" s="7">
        <v>6552</v>
      </c>
      <c r="V198" s="7">
        <v>9796</v>
      </c>
      <c r="W198" s="7">
        <v>5863</v>
      </c>
      <c r="X198" s="7">
        <v>4580</v>
      </c>
      <c r="Y198" s="7">
        <v>3931</v>
      </c>
      <c r="Z198" s="7">
        <v>7859</v>
      </c>
      <c r="AA198" s="7">
        <v>2189</v>
      </c>
      <c r="AB198" s="7">
        <v>3733</v>
      </c>
      <c r="AC198" s="7">
        <v>6185</v>
      </c>
      <c r="AD198" s="7">
        <v>6943</v>
      </c>
      <c r="AE198" s="7">
        <v>2303</v>
      </c>
      <c r="AF198" s="7">
        <v>2218</v>
      </c>
      <c r="AG198" s="7">
        <v>9270</v>
      </c>
      <c r="AH198" s="7">
        <v>4133</v>
      </c>
      <c r="AI198" s="7">
        <v>7313</v>
      </c>
      <c r="AJ198" s="7">
        <v>1340</v>
      </c>
      <c r="AK198" s="7">
        <v>7487</v>
      </c>
      <c r="AL198" s="7">
        <v>6775</v>
      </c>
      <c r="AM198" s="7">
        <v>5126</v>
      </c>
      <c r="AN198" s="7">
        <v>1648</v>
      </c>
      <c r="AO198" s="7">
        <v>817</v>
      </c>
      <c r="AQ198" s="7"/>
      <c r="AR198" s="7"/>
    </row>
    <row r="199" spans="1:44" x14ac:dyDescent="0.25">
      <c r="A199" s="6" t="s">
        <v>37</v>
      </c>
      <c r="B199" s="6" t="s">
        <v>226</v>
      </c>
      <c r="C199" s="6" t="s">
        <v>80</v>
      </c>
      <c r="D199" s="6" t="s">
        <v>254</v>
      </c>
      <c r="E199" s="6" t="s">
        <v>36</v>
      </c>
      <c r="F199" s="7">
        <v>1031</v>
      </c>
      <c r="G199" s="7">
        <v>8868</v>
      </c>
      <c r="H199" s="7">
        <v>3899</v>
      </c>
      <c r="I199" s="7">
        <v>304</v>
      </c>
      <c r="J199" s="7">
        <v>7749</v>
      </c>
      <c r="K199" s="7">
        <v>4201</v>
      </c>
      <c r="L199" s="7">
        <v>91</v>
      </c>
      <c r="M199" s="7">
        <v>5773</v>
      </c>
      <c r="N199" s="7">
        <v>9017</v>
      </c>
      <c r="O199" s="7">
        <v>5199</v>
      </c>
      <c r="P199" s="7">
        <v>5351</v>
      </c>
      <c r="Q199" s="7">
        <v>1174</v>
      </c>
      <c r="R199" s="7">
        <v>2213</v>
      </c>
      <c r="S199" s="7">
        <v>7677</v>
      </c>
      <c r="T199" s="7">
        <v>985</v>
      </c>
      <c r="U199" s="7">
        <v>8239</v>
      </c>
      <c r="V199" s="7">
        <v>2055</v>
      </c>
      <c r="W199" s="7">
        <v>4870</v>
      </c>
      <c r="X199" s="7">
        <v>6659</v>
      </c>
      <c r="Y199" s="7">
        <v>2373</v>
      </c>
      <c r="Z199" s="7">
        <v>1844</v>
      </c>
      <c r="AA199" s="7">
        <v>5646</v>
      </c>
      <c r="AB199" s="7">
        <v>5542</v>
      </c>
      <c r="AC199" s="7">
        <v>9786</v>
      </c>
      <c r="AD199" s="7">
        <v>3355</v>
      </c>
      <c r="AE199" s="7">
        <v>8857</v>
      </c>
      <c r="AF199" s="7">
        <v>8380</v>
      </c>
      <c r="AG199" s="7">
        <v>3984</v>
      </c>
      <c r="AH199" s="7">
        <v>8217</v>
      </c>
      <c r="AI199" s="7">
        <v>1309</v>
      </c>
      <c r="AJ199" s="7">
        <v>2417</v>
      </c>
      <c r="AK199" s="7">
        <v>7222</v>
      </c>
      <c r="AL199" s="7">
        <v>4160</v>
      </c>
      <c r="AM199" s="7">
        <v>5193</v>
      </c>
      <c r="AN199" s="7">
        <v>8848</v>
      </c>
      <c r="AO199" s="7">
        <v>2583</v>
      </c>
      <c r="AQ199" s="7"/>
      <c r="AR199" s="7"/>
    </row>
    <row r="200" spans="1:44" x14ac:dyDescent="0.25">
      <c r="A200" s="6" t="s">
        <v>37</v>
      </c>
      <c r="B200" s="6" t="s">
        <v>226</v>
      </c>
      <c r="C200" s="6" t="s">
        <v>100</v>
      </c>
      <c r="D200" s="6" t="s">
        <v>269</v>
      </c>
      <c r="E200" s="6" t="s">
        <v>33</v>
      </c>
      <c r="F200" s="7">
        <v>3363</v>
      </c>
      <c r="G200" s="7">
        <v>7740</v>
      </c>
      <c r="H200" s="7">
        <v>8636</v>
      </c>
      <c r="I200" s="7">
        <v>2655</v>
      </c>
      <c r="J200" s="7">
        <v>9216</v>
      </c>
      <c r="K200" s="7">
        <v>4470</v>
      </c>
      <c r="L200" s="7">
        <v>930</v>
      </c>
      <c r="M200" s="7">
        <v>2234</v>
      </c>
      <c r="N200" s="7">
        <v>8074</v>
      </c>
      <c r="O200" s="7">
        <v>2723</v>
      </c>
      <c r="P200" s="7">
        <v>347</v>
      </c>
      <c r="Q200" s="7">
        <v>3869</v>
      </c>
      <c r="R200" s="7">
        <v>2315</v>
      </c>
      <c r="S200" s="7">
        <v>3145</v>
      </c>
      <c r="T200" s="7">
        <v>503</v>
      </c>
      <c r="U200" s="7">
        <v>424</v>
      </c>
      <c r="V200" s="7">
        <v>38</v>
      </c>
      <c r="W200" s="7">
        <v>8771</v>
      </c>
      <c r="X200" s="7">
        <v>2965</v>
      </c>
      <c r="Y200" s="7">
        <v>6055</v>
      </c>
      <c r="Z200" s="7">
        <v>147</v>
      </c>
      <c r="AA200" s="7">
        <v>8357</v>
      </c>
      <c r="AB200" s="7">
        <v>2986</v>
      </c>
      <c r="AC200" s="7">
        <v>5507</v>
      </c>
      <c r="AD200" s="7">
        <v>9462</v>
      </c>
      <c r="AE200" s="7">
        <v>8340</v>
      </c>
      <c r="AF200" s="7">
        <v>2116</v>
      </c>
      <c r="AG200" s="7">
        <v>4941</v>
      </c>
      <c r="AH200" s="7">
        <v>440</v>
      </c>
      <c r="AI200" s="7">
        <v>5391</v>
      </c>
      <c r="AJ200" s="7">
        <v>3181</v>
      </c>
      <c r="AK200" s="7">
        <v>2726</v>
      </c>
      <c r="AL200" s="7">
        <v>1062</v>
      </c>
      <c r="AM200" s="7">
        <v>1084</v>
      </c>
      <c r="AN200" s="7">
        <v>2733</v>
      </c>
      <c r="AO200" s="7">
        <v>9887</v>
      </c>
      <c r="AQ200" s="7"/>
      <c r="AR200" s="7"/>
    </row>
    <row r="201" spans="1:44" x14ac:dyDescent="0.25">
      <c r="A201" s="6" t="s">
        <v>145</v>
      </c>
      <c r="B201" s="6" t="s">
        <v>227</v>
      </c>
      <c r="C201" s="6" t="s">
        <v>74</v>
      </c>
      <c r="D201" s="6" t="s">
        <v>266</v>
      </c>
      <c r="E201" s="6" t="s">
        <v>75</v>
      </c>
      <c r="F201" s="7">
        <v>8896</v>
      </c>
      <c r="G201" s="7">
        <v>6161</v>
      </c>
      <c r="H201" s="7">
        <v>6280</v>
      </c>
      <c r="I201" s="7">
        <v>4289</v>
      </c>
      <c r="J201" s="7">
        <v>1115</v>
      </c>
      <c r="K201" s="7">
        <v>5060</v>
      </c>
      <c r="L201" s="7">
        <v>7278</v>
      </c>
      <c r="M201" s="7">
        <v>9216</v>
      </c>
      <c r="N201" s="7">
        <v>6165</v>
      </c>
      <c r="O201" s="7">
        <v>1989</v>
      </c>
      <c r="P201" s="7">
        <v>6615</v>
      </c>
      <c r="Q201" s="7">
        <v>369</v>
      </c>
      <c r="R201" s="7">
        <v>3018</v>
      </c>
      <c r="S201" s="7">
        <v>3092</v>
      </c>
      <c r="T201" s="7">
        <v>4087</v>
      </c>
      <c r="U201" s="7">
        <v>9972</v>
      </c>
      <c r="V201" s="7">
        <v>6790</v>
      </c>
      <c r="W201" s="7">
        <v>175</v>
      </c>
      <c r="X201" s="7">
        <v>7203</v>
      </c>
      <c r="Y201" s="7">
        <v>9513</v>
      </c>
      <c r="Z201" s="7">
        <v>6254</v>
      </c>
      <c r="AA201" s="7">
        <v>698</v>
      </c>
      <c r="AB201" s="7">
        <v>7378</v>
      </c>
      <c r="AC201" s="7">
        <v>8068</v>
      </c>
      <c r="AD201" s="7">
        <v>3515</v>
      </c>
      <c r="AE201" s="7">
        <v>5125</v>
      </c>
      <c r="AF201" s="7">
        <v>3006</v>
      </c>
      <c r="AG201" s="7">
        <v>8355</v>
      </c>
      <c r="AH201" s="7">
        <v>5427</v>
      </c>
      <c r="AI201" s="7">
        <v>3837</v>
      </c>
      <c r="AJ201" s="7">
        <v>4178</v>
      </c>
      <c r="AK201" s="7">
        <v>7885</v>
      </c>
      <c r="AL201" s="7">
        <v>7028</v>
      </c>
      <c r="AM201" s="7">
        <v>2803</v>
      </c>
      <c r="AN201" s="7">
        <v>961</v>
      </c>
      <c r="AO201" s="7">
        <v>9787</v>
      </c>
      <c r="AQ201" s="7"/>
      <c r="AR201" s="7"/>
    </row>
  </sheetData>
  <sortState xmlns:xlrd2="http://schemas.microsoft.com/office/spreadsheetml/2017/richdata2" ref="A2:AO201">
    <sortCondition ref="A2:A2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77A6B-7DEC-4776-9BF4-02DECA8B4571}">
  <dimension ref="E3:N76"/>
  <sheetViews>
    <sheetView topLeftCell="A17" workbookViewId="0">
      <selection activeCell="P7" sqref="P7"/>
    </sheetView>
  </sheetViews>
  <sheetFormatPr defaultRowHeight="15" x14ac:dyDescent="0.25"/>
  <cols>
    <col min="5" max="5" width="17.42578125" bestFit="1" customWidth="1"/>
    <col min="8" max="8" width="12.5703125" bestFit="1" customWidth="1"/>
    <col min="11" max="11" width="17.5703125" bestFit="1" customWidth="1"/>
    <col min="14" max="14" width="13.28515625" bestFit="1" customWidth="1"/>
  </cols>
  <sheetData>
    <row r="3" spans="5:14" x14ac:dyDescent="0.25">
      <c r="K3" s="11" t="s">
        <v>22</v>
      </c>
    </row>
    <row r="4" spans="5:14" x14ac:dyDescent="0.25">
      <c r="E4" s="6" t="s">
        <v>142</v>
      </c>
      <c r="F4">
        <v>1</v>
      </c>
      <c r="G4">
        <v>659</v>
      </c>
      <c r="H4" t="str">
        <f>"Agent-ID-"&amp;G4</f>
        <v>Agent-ID-659</v>
      </c>
      <c r="K4" t="s">
        <v>38</v>
      </c>
      <c r="L4">
        <v>1</v>
      </c>
      <c r="M4">
        <v>239</v>
      </c>
      <c r="N4" t="str">
        <f>"Upline-ID-"&amp;M4</f>
        <v>Upline-ID-239</v>
      </c>
    </row>
    <row r="5" spans="5:14" x14ac:dyDescent="0.25">
      <c r="E5" s="6" t="s">
        <v>135</v>
      </c>
      <c r="F5">
        <f>+F4+1</f>
        <v>2</v>
      </c>
      <c r="G5">
        <v>529</v>
      </c>
      <c r="H5" t="str">
        <f t="shared" ref="H5:H68" si="0">"Agent-ID-"&amp;G5</f>
        <v>Agent-ID-529</v>
      </c>
      <c r="K5" t="s">
        <v>133</v>
      </c>
      <c r="L5">
        <f>+L4+1</f>
        <v>2</v>
      </c>
      <c r="M5">
        <v>615</v>
      </c>
      <c r="N5" t="str">
        <f t="shared" ref="N5:N50" si="1">"Upline-ID-"&amp;M5</f>
        <v>Upline-ID-615</v>
      </c>
    </row>
    <row r="6" spans="5:14" x14ac:dyDescent="0.25">
      <c r="E6" s="6" t="s">
        <v>115</v>
      </c>
      <c r="F6">
        <f t="shared" ref="F6:F69" si="2">+F5+1</f>
        <v>3</v>
      </c>
      <c r="G6">
        <v>572</v>
      </c>
      <c r="H6" t="str">
        <f t="shared" si="0"/>
        <v>Agent-ID-572</v>
      </c>
      <c r="K6" t="s">
        <v>86</v>
      </c>
      <c r="L6">
        <f t="shared" ref="L6:L50" si="3">+L5+1</f>
        <v>3</v>
      </c>
      <c r="M6">
        <v>590</v>
      </c>
      <c r="N6" t="str">
        <f t="shared" si="1"/>
        <v>Upline-ID-590</v>
      </c>
    </row>
    <row r="7" spans="5:14" x14ac:dyDescent="0.25">
      <c r="E7" s="6" t="s">
        <v>50</v>
      </c>
      <c r="F7">
        <f t="shared" si="2"/>
        <v>4</v>
      </c>
      <c r="G7">
        <v>886</v>
      </c>
      <c r="H7" t="str">
        <f t="shared" si="0"/>
        <v>Agent-ID-886</v>
      </c>
      <c r="K7" t="s">
        <v>114</v>
      </c>
      <c r="L7">
        <f t="shared" si="3"/>
        <v>4</v>
      </c>
      <c r="M7">
        <v>733</v>
      </c>
      <c r="N7" t="str">
        <f t="shared" si="1"/>
        <v>Upline-ID-733</v>
      </c>
    </row>
    <row r="8" spans="5:14" x14ac:dyDescent="0.25">
      <c r="E8" s="6" t="s">
        <v>89</v>
      </c>
      <c r="F8">
        <f t="shared" si="2"/>
        <v>5</v>
      </c>
      <c r="G8">
        <v>622</v>
      </c>
      <c r="H8" t="str">
        <f t="shared" si="0"/>
        <v>Agent-ID-622</v>
      </c>
      <c r="K8" t="s">
        <v>32</v>
      </c>
      <c r="L8">
        <f t="shared" si="3"/>
        <v>5</v>
      </c>
      <c r="M8">
        <v>920</v>
      </c>
      <c r="N8" t="str">
        <f t="shared" si="1"/>
        <v>Upline-ID-920</v>
      </c>
    </row>
    <row r="9" spans="5:14" x14ac:dyDescent="0.25">
      <c r="E9" s="6" t="s">
        <v>125</v>
      </c>
      <c r="F9">
        <f t="shared" si="2"/>
        <v>6</v>
      </c>
      <c r="G9">
        <v>781</v>
      </c>
      <c r="H9" t="str">
        <f t="shared" si="0"/>
        <v>Agent-ID-781</v>
      </c>
      <c r="K9" t="s">
        <v>148</v>
      </c>
      <c r="L9">
        <f t="shared" si="3"/>
        <v>6</v>
      </c>
      <c r="M9">
        <v>609</v>
      </c>
      <c r="N9" t="str">
        <f t="shared" si="1"/>
        <v>Upline-ID-609</v>
      </c>
    </row>
    <row r="10" spans="5:14" x14ac:dyDescent="0.25">
      <c r="E10" s="6" t="s">
        <v>116</v>
      </c>
      <c r="F10">
        <f t="shared" si="2"/>
        <v>7</v>
      </c>
      <c r="G10">
        <v>368</v>
      </c>
      <c r="H10" t="str">
        <f t="shared" si="0"/>
        <v>Agent-ID-368</v>
      </c>
      <c r="K10" t="s">
        <v>66</v>
      </c>
      <c r="L10">
        <f t="shared" si="3"/>
        <v>7</v>
      </c>
      <c r="M10">
        <v>109</v>
      </c>
      <c r="N10" t="str">
        <f t="shared" si="1"/>
        <v>Upline-ID-109</v>
      </c>
    </row>
    <row r="11" spans="5:14" x14ac:dyDescent="0.25">
      <c r="E11" s="6" t="s">
        <v>139</v>
      </c>
      <c r="F11">
        <f t="shared" si="2"/>
        <v>8</v>
      </c>
      <c r="G11">
        <v>535</v>
      </c>
      <c r="H11" t="str">
        <f t="shared" si="0"/>
        <v>Agent-ID-535</v>
      </c>
      <c r="K11" t="s">
        <v>40</v>
      </c>
      <c r="L11">
        <f t="shared" si="3"/>
        <v>8</v>
      </c>
      <c r="M11">
        <v>560</v>
      </c>
      <c r="N11" t="str">
        <f t="shared" si="1"/>
        <v>Upline-ID-560</v>
      </c>
    </row>
    <row r="12" spans="5:14" x14ac:dyDescent="0.25">
      <c r="E12" s="6" t="s">
        <v>60</v>
      </c>
      <c r="F12">
        <f t="shared" si="2"/>
        <v>9</v>
      </c>
      <c r="G12">
        <v>445</v>
      </c>
      <c r="H12" t="str">
        <f t="shared" si="0"/>
        <v>Agent-ID-445</v>
      </c>
      <c r="K12" t="s">
        <v>74</v>
      </c>
      <c r="L12">
        <f t="shared" si="3"/>
        <v>9</v>
      </c>
      <c r="M12">
        <v>184</v>
      </c>
      <c r="N12" t="str">
        <f t="shared" si="1"/>
        <v>Upline-ID-184</v>
      </c>
    </row>
    <row r="13" spans="5:14" x14ac:dyDescent="0.25">
      <c r="E13" s="6" t="s">
        <v>111</v>
      </c>
      <c r="F13">
        <f t="shared" si="2"/>
        <v>10</v>
      </c>
      <c r="G13">
        <v>976</v>
      </c>
      <c r="H13" t="str">
        <f t="shared" si="0"/>
        <v>Agent-ID-976</v>
      </c>
      <c r="K13" t="s">
        <v>95</v>
      </c>
      <c r="L13">
        <f t="shared" si="3"/>
        <v>10</v>
      </c>
      <c r="M13">
        <v>866</v>
      </c>
      <c r="N13" t="str">
        <f t="shared" si="1"/>
        <v>Upline-ID-866</v>
      </c>
    </row>
    <row r="14" spans="5:14" x14ac:dyDescent="0.25">
      <c r="E14" s="6" t="s">
        <v>98</v>
      </c>
      <c r="F14">
        <f t="shared" si="2"/>
        <v>11</v>
      </c>
      <c r="G14">
        <v>764</v>
      </c>
      <c r="H14" t="str">
        <f t="shared" si="0"/>
        <v>Agent-ID-764</v>
      </c>
      <c r="K14" t="s">
        <v>136</v>
      </c>
      <c r="L14">
        <f t="shared" si="3"/>
        <v>11</v>
      </c>
      <c r="M14">
        <v>924</v>
      </c>
      <c r="N14" t="str">
        <f t="shared" si="1"/>
        <v>Upline-ID-924</v>
      </c>
    </row>
    <row r="15" spans="5:14" x14ac:dyDescent="0.25">
      <c r="E15" s="6" t="s">
        <v>99</v>
      </c>
      <c r="F15">
        <f t="shared" si="2"/>
        <v>12</v>
      </c>
      <c r="G15">
        <v>520</v>
      </c>
      <c r="H15" t="str">
        <f t="shared" si="0"/>
        <v>Agent-ID-520</v>
      </c>
      <c r="K15" t="s">
        <v>91</v>
      </c>
      <c r="L15">
        <f t="shared" si="3"/>
        <v>12</v>
      </c>
      <c r="M15">
        <v>658</v>
      </c>
      <c r="N15" t="str">
        <f t="shared" si="1"/>
        <v>Upline-ID-658</v>
      </c>
    </row>
    <row r="16" spans="5:14" x14ac:dyDescent="0.25">
      <c r="E16" s="6" t="s">
        <v>147</v>
      </c>
      <c r="F16">
        <f t="shared" si="2"/>
        <v>13</v>
      </c>
      <c r="G16">
        <v>410</v>
      </c>
      <c r="H16" t="str">
        <f t="shared" si="0"/>
        <v>Agent-ID-410</v>
      </c>
      <c r="K16" t="s">
        <v>61</v>
      </c>
      <c r="L16">
        <f t="shared" si="3"/>
        <v>13</v>
      </c>
      <c r="M16">
        <v>330</v>
      </c>
      <c r="N16" t="str">
        <f t="shared" si="1"/>
        <v>Upline-ID-330</v>
      </c>
    </row>
    <row r="17" spans="5:14" x14ac:dyDescent="0.25">
      <c r="E17" s="6" t="s">
        <v>126</v>
      </c>
      <c r="F17">
        <f t="shared" si="2"/>
        <v>14</v>
      </c>
      <c r="G17">
        <v>370</v>
      </c>
      <c r="H17" t="str">
        <f t="shared" si="0"/>
        <v>Agent-ID-370</v>
      </c>
      <c r="K17" t="s">
        <v>45</v>
      </c>
      <c r="L17">
        <f t="shared" si="3"/>
        <v>14</v>
      </c>
      <c r="M17">
        <v>876</v>
      </c>
      <c r="N17" t="str">
        <f t="shared" si="1"/>
        <v>Upline-ID-876</v>
      </c>
    </row>
    <row r="18" spans="5:14" x14ac:dyDescent="0.25">
      <c r="E18" s="6" t="s">
        <v>112</v>
      </c>
      <c r="F18">
        <f t="shared" si="2"/>
        <v>15</v>
      </c>
      <c r="G18">
        <v>308</v>
      </c>
      <c r="H18" t="str">
        <f t="shared" si="0"/>
        <v>Agent-ID-308</v>
      </c>
      <c r="K18" t="s">
        <v>25</v>
      </c>
      <c r="L18">
        <f t="shared" si="3"/>
        <v>15</v>
      </c>
      <c r="M18">
        <v>939</v>
      </c>
      <c r="N18" t="str">
        <f t="shared" si="1"/>
        <v>Upline-ID-939</v>
      </c>
    </row>
    <row r="19" spans="5:14" x14ac:dyDescent="0.25">
      <c r="E19" s="6" t="s">
        <v>134</v>
      </c>
      <c r="F19">
        <f t="shared" si="2"/>
        <v>16</v>
      </c>
      <c r="G19">
        <v>968</v>
      </c>
      <c r="H19" t="str">
        <f t="shared" si="0"/>
        <v>Agent-ID-968</v>
      </c>
      <c r="K19" t="s">
        <v>85</v>
      </c>
      <c r="L19">
        <f t="shared" si="3"/>
        <v>16</v>
      </c>
      <c r="M19">
        <v>199</v>
      </c>
      <c r="N19" t="str">
        <f t="shared" si="1"/>
        <v>Upline-ID-199</v>
      </c>
    </row>
    <row r="20" spans="5:14" x14ac:dyDescent="0.25">
      <c r="E20" s="6" t="s">
        <v>71</v>
      </c>
      <c r="F20">
        <f t="shared" si="2"/>
        <v>17</v>
      </c>
      <c r="G20">
        <v>393</v>
      </c>
      <c r="H20" t="str">
        <f t="shared" si="0"/>
        <v>Agent-ID-393</v>
      </c>
      <c r="K20" t="s">
        <v>118</v>
      </c>
      <c r="L20">
        <f t="shared" si="3"/>
        <v>17</v>
      </c>
      <c r="M20">
        <v>644</v>
      </c>
      <c r="N20" t="str">
        <f t="shared" si="1"/>
        <v>Upline-ID-644</v>
      </c>
    </row>
    <row r="21" spans="5:14" x14ac:dyDescent="0.25">
      <c r="E21" s="6" t="s">
        <v>151</v>
      </c>
      <c r="F21">
        <f t="shared" si="2"/>
        <v>18</v>
      </c>
      <c r="G21">
        <v>727</v>
      </c>
      <c r="H21" t="str">
        <f t="shared" si="0"/>
        <v>Agent-ID-727</v>
      </c>
      <c r="K21" t="s">
        <v>120</v>
      </c>
      <c r="L21">
        <f t="shared" si="3"/>
        <v>18</v>
      </c>
      <c r="M21">
        <v>869</v>
      </c>
      <c r="N21" t="str">
        <f t="shared" si="1"/>
        <v>Upline-ID-869</v>
      </c>
    </row>
    <row r="22" spans="5:14" x14ac:dyDescent="0.25">
      <c r="E22" s="6" t="s">
        <v>138</v>
      </c>
      <c r="F22">
        <f t="shared" si="2"/>
        <v>19</v>
      </c>
      <c r="G22">
        <v>658</v>
      </c>
      <c r="H22" t="str">
        <f t="shared" si="0"/>
        <v>Agent-ID-658</v>
      </c>
      <c r="K22" t="s">
        <v>72</v>
      </c>
      <c r="L22">
        <f t="shared" si="3"/>
        <v>19</v>
      </c>
      <c r="M22">
        <v>828</v>
      </c>
      <c r="N22" t="str">
        <f t="shared" si="1"/>
        <v>Upline-ID-828</v>
      </c>
    </row>
    <row r="23" spans="5:14" x14ac:dyDescent="0.25">
      <c r="E23" s="6" t="s">
        <v>149</v>
      </c>
      <c r="F23">
        <f t="shared" si="2"/>
        <v>20</v>
      </c>
      <c r="G23">
        <v>922</v>
      </c>
      <c r="H23" t="str">
        <f t="shared" si="0"/>
        <v>Agent-ID-922</v>
      </c>
      <c r="K23" t="s">
        <v>110</v>
      </c>
      <c r="L23">
        <f t="shared" si="3"/>
        <v>20</v>
      </c>
      <c r="M23">
        <v>792</v>
      </c>
      <c r="N23" t="str">
        <f t="shared" si="1"/>
        <v>Upline-ID-792</v>
      </c>
    </row>
    <row r="24" spans="5:14" x14ac:dyDescent="0.25">
      <c r="E24" s="6" t="s">
        <v>81</v>
      </c>
      <c r="F24">
        <f t="shared" si="2"/>
        <v>21</v>
      </c>
      <c r="G24">
        <v>213</v>
      </c>
      <c r="H24" t="str">
        <f t="shared" si="0"/>
        <v>Agent-ID-213</v>
      </c>
      <c r="K24" t="s">
        <v>102</v>
      </c>
      <c r="L24">
        <f t="shared" si="3"/>
        <v>21</v>
      </c>
      <c r="M24">
        <v>328</v>
      </c>
      <c r="N24" t="str">
        <f t="shared" si="1"/>
        <v>Upline-ID-328</v>
      </c>
    </row>
    <row r="25" spans="5:14" x14ac:dyDescent="0.25">
      <c r="E25" s="6" t="s">
        <v>31</v>
      </c>
      <c r="F25">
        <f t="shared" si="2"/>
        <v>22</v>
      </c>
      <c r="G25">
        <v>664</v>
      </c>
      <c r="H25" t="str">
        <f t="shared" si="0"/>
        <v>Agent-ID-664</v>
      </c>
      <c r="K25" t="s">
        <v>121</v>
      </c>
      <c r="L25">
        <f t="shared" si="3"/>
        <v>22</v>
      </c>
      <c r="M25">
        <v>323</v>
      </c>
      <c r="N25" t="str">
        <f t="shared" si="1"/>
        <v>Upline-ID-323</v>
      </c>
    </row>
    <row r="26" spans="5:14" x14ac:dyDescent="0.25">
      <c r="E26" s="6" t="s">
        <v>39</v>
      </c>
      <c r="F26">
        <f t="shared" si="2"/>
        <v>23</v>
      </c>
      <c r="G26">
        <v>597</v>
      </c>
      <c r="H26" t="str">
        <f t="shared" si="0"/>
        <v>Agent-ID-597</v>
      </c>
      <c r="K26" t="s">
        <v>124</v>
      </c>
      <c r="L26">
        <f t="shared" si="3"/>
        <v>23</v>
      </c>
      <c r="M26">
        <v>549</v>
      </c>
      <c r="N26" t="str">
        <f t="shared" si="1"/>
        <v>Upline-ID-549</v>
      </c>
    </row>
    <row r="27" spans="5:14" x14ac:dyDescent="0.25">
      <c r="E27" s="6" t="s">
        <v>144</v>
      </c>
      <c r="F27">
        <f t="shared" si="2"/>
        <v>24</v>
      </c>
      <c r="G27">
        <v>233</v>
      </c>
      <c r="H27" t="str">
        <f t="shared" si="0"/>
        <v>Agent-ID-233</v>
      </c>
      <c r="K27" t="s">
        <v>76</v>
      </c>
      <c r="L27">
        <f t="shared" si="3"/>
        <v>24</v>
      </c>
      <c r="M27">
        <v>142</v>
      </c>
      <c r="N27" t="str">
        <f t="shared" si="1"/>
        <v>Upline-ID-142</v>
      </c>
    </row>
    <row r="28" spans="5:14" x14ac:dyDescent="0.25">
      <c r="E28" s="6" t="s">
        <v>146</v>
      </c>
      <c r="F28">
        <f t="shared" si="2"/>
        <v>25</v>
      </c>
      <c r="G28">
        <v>446</v>
      </c>
      <c r="H28" t="str">
        <f t="shared" si="0"/>
        <v>Agent-ID-446</v>
      </c>
      <c r="K28" t="s">
        <v>130</v>
      </c>
      <c r="L28">
        <f t="shared" si="3"/>
        <v>25</v>
      </c>
      <c r="M28">
        <v>518</v>
      </c>
      <c r="N28" t="str">
        <f t="shared" si="1"/>
        <v>Upline-ID-518</v>
      </c>
    </row>
    <row r="29" spans="5:14" x14ac:dyDescent="0.25">
      <c r="E29" s="6" t="s">
        <v>101</v>
      </c>
      <c r="F29">
        <f t="shared" si="2"/>
        <v>26</v>
      </c>
      <c r="G29">
        <v>695</v>
      </c>
      <c r="H29" t="str">
        <f t="shared" si="0"/>
        <v>Agent-ID-695</v>
      </c>
      <c r="K29" t="s">
        <v>48</v>
      </c>
      <c r="L29">
        <f t="shared" si="3"/>
        <v>26</v>
      </c>
      <c r="M29">
        <v>718</v>
      </c>
      <c r="N29" t="str">
        <f t="shared" si="1"/>
        <v>Upline-ID-718</v>
      </c>
    </row>
    <row r="30" spans="5:14" x14ac:dyDescent="0.25">
      <c r="E30" s="6" t="s">
        <v>92</v>
      </c>
      <c r="F30">
        <f t="shared" si="2"/>
        <v>27</v>
      </c>
      <c r="G30">
        <v>657</v>
      </c>
      <c r="H30" t="str">
        <f t="shared" si="0"/>
        <v>Agent-ID-657</v>
      </c>
      <c r="K30" t="s">
        <v>100</v>
      </c>
      <c r="L30">
        <f t="shared" si="3"/>
        <v>27</v>
      </c>
      <c r="M30">
        <v>114</v>
      </c>
      <c r="N30" t="str">
        <f t="shared" si="1"/>
        <v>Upline-ID-114</v>
      </c>
    </row>
    <row r="31" spans="5:14" x14ac:dyDescent="0.25">
      <c r="E31" s="6" t="s">
        <v>143</v>
      </c>
      <c r="F31">
        <f t="shared" si="2"/>
        <v>28</v>
      </c>
      <c r="G31">
        <v>639</v>
      </c>
      <c r="H31" t="str">
        <f t="shared" si="0"/>
        <v>Agent-ID-639</v>
      </c>
      <c r="K31" t="s">
        <v>78</v>
      </c>
      <c r="L31">
        <f t="shared" si="3"/>
        <v>28</v>
      </c>
      <c r="M31">
        <v>251</v>
      </c>
      <c r="N31" t="str">
        <f t="shared" si="1"/>
        <v>Upline-ID-251</v>
      </c>
    </row>
    <row r="32" spans="5:14" x14ac:dyDescent="0.25">
      <c r="E32" s="6" t="s">
        <v>131</v>
      </c>
      <c r="F32">
        <f t="shared" si="2"/>
        <v>29</v>
      </c>
      <c r="G32">
        <v>265</v>
      </c>
      <c r="H32" t="str">
        <f t="shared" si="0"/>
        <v>Agent-ID-265</v>
      </c>
      <c r="K32" t="s">
        <v>93</v>
      </c>
      <c r="L32">
        <f t="shared" si="3"/>
        <v>29</v>
      </c>
      <c r="M32">
        <v>108</v>
      </c>
      <c r="N32" t="str">
        <f t="shared" si="1"/>
        <v>Upline-ID-108</v>
      </c>
    </row>
    <row r="33" spans="5:14" x14ac:dyDescent="0.25">
      <c r="E33" s="6" t="s">
        <v>88</v>
      </c>
      <c r="F33">
        <f t="shared" si="2"/>
        <v>30</v>
      </c>
      <c r="G33">
        <v>202</v>
      </c>
      <c r="H33" t="str">
        <f t="shared" si="0"/>
        <v>Agent-ID-202</v>
      </c>
      <c r="K33" t="s">
        <v>55</v>
      </c>
      <c r="L33">
        <f t="shared" si="3"/>
        <v>30</v>
      </c>
      <c r="M33">
        <v>966</v>
      </c>
      <c r="N33" t="str">
        <f t="shared" si="1"/>
        <v>Upline-ID-966</v>
      </c>
    </row>
    <row r="34" spans="5:14" x14ac:dyDescent="0.25">
      <c r="E34" s="6" t="s">
        <v>141</v>
      </c>
      <c r="F34">
        <f t="shared" si="2"/>
        <v>31</v>
      </c>
      <c r="G34">
        <v>306</v>
      </c>
      <c r="H34" t="str">
        <f t="shared" si="0"/>
        <v>Agent-ID-306</v>
      </c>
      <c r="K34" t="s">
        <v>51</v>
      </c>
      <c r="L34">
        <f t="shared" si="3"/>
        <v>31</v>
      </c>
      <c r="M34">
        <v>159</v>
      </c>
      <c r="N34" t="str">
        <f t="shared" si="1"/>
        <v>Upline-ID-159</v>
      </c>
    </row>
    <row r="35" spans="5:14" x14ac:dyDescent="0.25">
      <c r="E35" s="6" t="s">
        <v>24</v>
      </c>
      <c r="F35">
        <f t="shared" si="2"/>
        <v>32</v>
      </c>
      <c r="G35">
        <v>453</v>
      </c>
      <c r="H35" t="str">
        <f t="shared" si="0"/>
        <v>Agent-ID-453</v>
      </c>
      <c r="K35" t="s">
        <v>42</v>
      </c>
      <c r="L35">
        <f t="shared" si="3"/>
        <v>32</v>
      </c>
      <c r="M35">
        <v>356</v>
      </c>
      <c r="N35" t="str">
        <f t="shared" si="1"/>
        <v>Upline-ID-356</v>
      </c>
    </row>
    <row r="36" spans="5:14" x14ac:dyDescent="0.25">
      <c r="E36" s="6" t="s">
        <v>73</v>
      </c>
      <c r="F36">
        <f t="shared" si="2"/>
        <v>33</v>
      </c>
      <c r="G36">
        <v>196</v>
      </c>
      <c r="H36" t="str">
        <f t="shared" si="0"/>
        <v>Agent-ID-196</v>
      </c>
      <c r="K36" t="s">
        <v>90</v>
      </c>
      <c r="L36">
        <f t="shared" si="3"/>
        <v>33</v>
      </c>
      <c r="M36">
        <v>805</v>
      </c>
      <c r="N36" t="str">
        <f t="shared" si="1"/>
        <v>Upline-ID-805</v>
      </c>
    </row>
    <row r="37" spans="5:14" x14ac:dyDescent="0.25">
      <c r="E37" s="6" t="s">
        <v>41</v>
      </c>
      <c r="F37">
        <f t="shared" si="2"/>
        <v>34</v>
      </c>
      <c r="G37">
        <v>768</v>
      </c>
      <c r="H37" t="str">
        <f t="shared" si="0"/>
        <v>Agent-ID-768</v>
      </c>
      <c r="K37" t="s">
        <v>80</v>
      </c>
      <c r="L37">
        <f t="shared" si="3"/>
        <v>34</v>
      </c>
      <c r="M37">
        <v>429</v>
      </c>
      <c r="N37" t="str">
        <f t="shared" si="1"/>
        <v>Upline-ID-429</v>
      </c>
    </row>
    <row r="38" spans="5:14" x14ac:dyDescent="0.25">
      <c r="E38" s="6" t="s">
        <v>153</v>
      </c>
      <c r="F38">
        <f t="shared" si="2"/>
        <v>35</v>
      </c>
      <c r="G38">
        <v>802</v>
      </c>
      <c r="H38" t="str">
        <f t="shared" si="0"/>
        <v>Agent-ID-802</v>
      </c>
      <c r="K38" t="s">
        <v>62</v>
      </c>
      <c r="L38">
        <f t="shared" si="3"/>
        <v>35</v>
      </c>
      <c r="M38">
        <v>299</v>
      </c>
      <c r="N38" t="str">
        <f t="shared" si="1"/>
        <v>Upline-ID-299</v>
      </c>
    </row>
    <row r="39" spans="5:14" x14ac:dyDescent="0.25">
      <c r="E39" s="6" t="s">
        <v>53</v>
      </c>
      <c r="F39">
        <f t="shared" si="2"/>
        <v>36</v>
      </c>
      <c r="G39">
        <v>851</v>
      </c>
      <c r="H39" t="str">
        <f t="shared" si="0"/>
        <v>Agent-ID-851</v>
      </c>
      <c r="K39" t="s">
        <v>83</v>
      </c>
      <c r="L39">
        <f t="shared" si="3"/>
        <v>36</v>
      </c>
      <c r="M39">
        <v>448</v>
      </c>
      <c r="N39" t="str">
        <f t="shared" si="1"/>
        <v>Upline-ID-448</v>
      </c>
    </row>
    <row r="40" spans="5:14" x14ac:dyDescent="0.25">
      <c r="E40" s="6" t="s">
        <v>152</v>
      </c>
      <c r="F40">
        <f t="shared" si="2"/>
        <v>37</v>
      </c>
      <c r="G40">
        <v>277</v>
      </c>
      <c r="H40" t="str">
        <f t="shared" si="0"/>
        <v>Agent-ID-277</v>
      </c>
      <c r="K40" t="s">
        <v>69</v>
      </c>
      <c r="L40">
        <f t="shared" si="3"/>
        <v>37</v>
      </c>
      <c r="M40">
        <v>589</v>
      </c>
      <c r="N40" t="str">
        <f t="shared" si="1"/>
        <v>Upline-ID-589</v>
      </c>
    </row>
    <row r="41" spans="5:14" x14ac:dyDescent="0.25">
      <c r="E41" s="6" t="s">
        <v>47</v>
      </c>
      <c r="F41">
        <f t="shared" si="2"/>
        <v>38</v>
      </c>
      <c r="G41">
        <v>676</v>
      </c>
      <c r="H41" t="str">
        <f t="shared" si="0"/>
        <v>Agent-ID-676</v>
      </c>
      <c r="K41" t="s">
        <v>97</v>
      </c>
      <c r="L41">
        <f t="shared" si="3"/>
        <v>38</v>
      </c>
      <c r="M41">
        <v>132</v>
      </c>
      <c r="N41" t="str">
        <f t="shared" si="1"/>
        <v>Upline-ID-132</v>
      </c>
    </row>
    <row r="42" spans="5:14" x14ac:dyDescent="0.25">
      <c r="E42" s="6" t="s">
        <v>119</v>
      </c>
      <c r="F42">
        <f t="shared" si="2"/>
        <v>39</v>
      </c>
      <c r="G42">
        <v>825</v>
      </c>
      <c r="H42" t="str">
        <f t="shared" si="0"/>
        <v>Agent-ID-825</v>
      </c>
      <c r="K42" t="s">
        <v>113</v>
      </c>
      <c r="L42">
        <f t="shared" si="3"/>
        <v>39</v>
      </c>
      <c r="M42">
        <v>441</v>
      </c>
      <c r="N42" t="str">
        <f t="shared" si="1"/>
        <v>Upline-ID-441</v>
      </c>
    </row>
    <row r="43" spans="5:14" x14ac:dyDescent="0.25">
      <c r="E43" s="6" t="s">
        <v>54</v>
      </c>
      <c r="F43">
        <f t="shared" si="2"/>
        <v>40</v>
      </c>
      <c r="G43">
        <v>172</v>
      </c>
      <c r="H43" t="str">
        <f t="shared" si="0"/>
        <v>Agent-ID-172</v>
      </c>
      <c r="K43" t="s">
        <v>82</v>
      </c>
      <c r="L43">
        <f t="shared" si="3"/>
        <v>40</v>
      </c>
      <c r="M43">
        <v>173</v>
      </c>
      <c r="N43" t="str">
        <f t="shared" si="1"/>
        <v>Upline-ID-173</v>
      </c>
    </row>
    <row r="44" spans="5:14" x14ac:dyDescent="0.25">
      <c r="E44" s="6" t="s">
        <v>63</v>
      </c>
      <c r="F44">
        <f t="shared" si="2"/>
        <v>41</v>
      </c>
      <c r="G44">
        <v>766</v>
      </c>
      <c r="H44" t="str">
        <f t="shared" si="0"/>
        <v>Agent-ID-766</v>
      </c>
      <c r="K44" t="s">
        <v>58</v>
      </c>
      <c r="L44">
        <f t="shared" si="3"/>
        <v>41</v>
      </c>
      <c r="M44">
        <v>482</v>
      </c>
      <c r="N44" t="str">
        <f t="shared" si="1"/>
        <v>Upline-ID-482</v>
      </c>
    </row>
    <row r="45" spans="5:14" x14ac:dyDescent="0.25">
      <c r="E45" s="6" t="s">
        <v>30</v>
      </c>
      <c r="F45">
        <f t="shared" si="2"/>
        <v>42</v>
      </c>
      <c r="G45">
        <v>776</v>
      </c>
      <c r="H45" t="str">
        <f t="shared" si="0"/>
        <v>Agent-ID-776</v>
      </c>
      <c r="K45" t="s">
        <v>28</v>
      </c>
      <c r="L45">
        <f t="shared" si="3"/>
        <v>42</v>
      </c>
      <c r="M45">
        <v>150</v>
      </c>
      <c r="N45" t="str">
        <f t="shared" si="1"/>
        <v>Upline-ID-150</v>
      </c>
    </row>
    <row r="46" spans="5:14" x14ac:dyDescent="0.25">
      <c r="E46" s="6" t="s">
        <v>84</v>
      </c>
      <c r="F46">
        <f t="shared" si="2"/>
        <v>43</v>
      </c>
      <c r="G46">
        <v>969</v>
      </c>
      <c r="H46" t="str">
        <f t="shared" si="0"/>
        <v>Agent-ID-969</v>
      </c>
      <c r="K46" t="s">
        <v>104</v>
      </c>
      <c r="L46">
        <f t="shared" si="3"/>
        <v>43</v>
      </c>
      <c r="M46">
        <v>862</v>
      </c>
      <c r="N46" t="str">
        <f t="shared" si="1"/>
        <v>Upline-ID-862</v>
      </c>
    </row>
    <row r="47" spans="5:14" x14ac:dyDescent="0.25">
      <c r="E47" s="6" t="s">
        <v>67</v>
      </c>
      <c r="F47">
        <f t="shared" si="2"/>
        <v>44</v>
      </c>
      <c r="G47">
        <v>206</v>
      </c>
      <c r="H47" t="str">
        <f t="shared" si="0"/>
        <v>Agent-ID-206</v>
      </c>
      <c r="K47" t="s">
        <v>127</v>
      </c>
      <c r="L47">
        <f t="shared" si="3"/>
        <v>44</v>
      </c>
      <c r="M47">
        <v>211</v>
      </c>
      <c r="N47" t="str">
        <f t="shared" si="1"/>
        <v>Upline-ID-211</v>
      </c>
    </row>
    <row r="48" spans="5:14" x14ac:dyDescent="0.25">
      <c r="E48" s="6" t="s">
        <v>105</v>
      </c>
      <c r="F48">
        <f t="shared" si="2"/>
        <v>45</v>
      </c>
      <c r="G48">
        <v>652</v>
      </c>
      <c r="H48" t="str">
        <f t="shared" si="0"/>
        <v>Agent-ID-652</v>
      </c>
      <c r="K48" t="s">
        <v>35</v>
      </c>
      <c r="L48">
        <f t="shared" si="3"/>
        <v>45</v>
      </c>
      <c r="M48">
        <v>277</v>
      </c>
      <c r="N48" t="str">
        <f t="shared" si="1"/>
        <v>Upline-ID-277</v>
      </c>
    </row>
    <row r="49" spans="5:14" x14ac:dyDescent="0.25">
      <c r="E49" s="6" t="s">
        <v>137</v>
      </c>
      <c r="F49">
        <f t="shared" si="2"/>
        <v>46</v>
      </c>
      <c r="G49">
        <v>311</v>
      </c>
      <c r="H49" t="str">
        <f t="shared" si="0"/>
        <v>Agent-ID-311</v>
      </c>
      <c r="K49" t="s">
        <v>64</v>
      </c>
      <c r="L49">
        <f t="shared" si="3"/>
        <v>46</v>
      </c>
      <c r="M49">
        <v>286</v>
      </c>
      <c r="N49" t="str">
        <f t="shared" si="1"/>
        <v>Upline-ID-286</v>
      </c>
    </row>
    <row r="50" spans="5:14" x14ac:dyDescent="0.25">
      <c r="E50" s="6" t="s">
        <v>77</v>
      </c>
      <c r="F50">
        <f t="shared" si="2"/>
        <v>47</v>
      </c>
      <c r="G50">
        <v>395</v>
      </c>
      <c r="H50" t="str">
        <f t="shared" si="0"/>
        <v>Agent-ID-395</v>
      </c>
      <c r="K50" t="s">
        <v>79</v>
      </c>
      <c r="L50">
        <f t="shared" si="3"/>
        <v>47</v>
      </c>
      <c r="M50">
        <v>962</v>
      </c>
      <c r="N50" t="str">
        <f t="shared" si="1"/>
        <v>Upline-ID-962</v>
      </c>
    </row>
    <row r="51" spans="5:14" x14ac:dyDescent="0.25">
      <c r="E51" s="6" t="s">
        <v>128</v>
      </c>
      <c r="F51">
        <f t="shared" si="2"/>
        <v>48</v>
      </c>
      <c r="G51">
        <v>647</v>
      </c>
      <c r="H51" t="str">
        <f t="shared" si="0"/>
        <v>Agent-ID-647</v>
      </c>
    </row>
    <row r="52" spans="5:14" x14ac:dyDescent="0.25">
      <c r="E52" s="6" t="s">
        <v>107</v>
      </c>
      <c r="F52">
        <f t="shared" si="2"/>
        <v>49</v>
      </c>
      <c r="G52">
        <v>555</v>
      </c>
      <c r="H52" t="str">
        <f t="shared" si="0"/>
        <v>Agent-ID-555</v>
      </c>
    </row>
    <row r="53" spans="5:14" x14ac:dyDescent="0.25">
      <c r="E53" s="6" t="s">
        <v>129</v>
      </c>
      <c r="F53">
        <f t="shared" si="2"/>
        <v>50</v>
      </c>
      <c r="G53">
        <v>339</v>
      </c>
      <c r="H53" t="str">
        <f t="shared" si="0"/>
        <v>Agent-ID-339</v>
      </c>
    </row>
    <row r="54" spans="5:14" x14ac:dyDescent="0.25">
      <c r="E54" s="6" t="s">
        <v>123</v>
      </c>
      <c r="F54">
        <f t="shared" si="2"/>
        <v>51</v>
      </c>
      <c r="G54">
        <v>491</v>
      </c>
      <c r="H54" t="str">
        <f t="shared" si="0"/>
        <v>Agent-ID-491</v>
      </c>
    </row>
    <row r="55" spans="5:14" x14ac:dyDescent="0.25">
      <c r="E55" s="6" t="s">
        <v>117</v>
      </c>
      <c r="F55">
        <f t="shared" si="2"/>
        <v>52</v>
      </c>
      <c r="G55">
        <v>260</v>
      </c>
      <c r="H55" t="str">
        <f t="shared" si="0"/>
        <v>Agent-ID-260</v>
      </c>
    </row>
    <row r="56" spans="5:14" x14ac:dyDescent="0.25">
      <c r="E56" s="6" t="s">
        <v>57</v>
      </c>
      <c r="F56">
        <f t="shared" si="2"/>
        <v>53</v>
      </c>
      <c r="G56">
        <v>297</v>
      </c>
      <c r="H56" t="str">
        <f t="shared" si="0"/>
        <v>Agent-ID-297</v>
      </c>
    </row>
    <row r="57" spans="5:14" x14ac:dyDescent="0.25">
      <c r="E57" s="6" t="s">
        <v>109</v>
      </c>
      <c r="F57">
        <f t="shared" si="2"/>
        <v>54</v>
      </c>
      <c r="G57">
        <v>799</v>
      </c>
      <c r="H57" t="str">
        <f t="shared" si="0"/>
        <v>Agent-ID-799</v>
      </c>
    </row>
    <row r="58" spans="5:14" x14ac:dyDescent="0.25">
      <c r="E58" s="6" t="s">
        <v>94</v>
      </c>
      <c r="F58">
        <f t="shared" si="2"/>
        <v>55</v>
      </c>
      <c r="G58">
        <v>315</v>
      </c>
      <c r="H58" t="str">
        <f t="shared" si="0"/>
        <v>Agent-ID-315</v>
      </c>
    </row>
    <row r="59" spans="5:14" x14ac:dyDescent="0.25">
      <c r="E59" s="6" t="s">
        <v>52</v>
      </c>
      <c r="F59">
        <f t="shared" si="2"/>
        <v>56</v>
      </c>
      <c r="G59">
        <v>809</v>
      </c>
      <c r="H59" t="str">
        <f t="shared" si="0"/>
        <v>Agent-ID-809</v>
      </c>
    </row>
    <row r="60" spans="5:14" x14ac:dyDescent="0.25">
      <c r="E60" s="6" t="s">
        <v>150</v>
      </c>
      <c r="F60">
        <f t="shared" si="2"/>
        <v>57</v>
      </c>
      <c r="G60">
        <v>634</v>
      </c>
      <c r="H60" t="str">
        <f t="shared" si="0"/>
        <v>Agent-ID-634</v>
      </c>
    </row>
    <row r="61" spans="5:14" x14ac:dyDescent="0.25">
      <c r="E61" s="6" t="s">
        <v>108</v>
      </c>
      <c r="F61">
        <f t="shared" si="2"/>
        <v>58</v>
      </c>
      <c r="G61">
        <v>254</v>
      </c>
      <c r="H61" t="str">
        <f t="shared" si="0"/>
        <v>Agent-ID-254</v>
      </c>
    </row>
    <row r="62" spans="5:14" x14ac:dyDescent="0.25">
      <c r="E62" s="6" t="s">
        <v>34</v>
      </c>
      <c r="F62">
        <f t="shared" si="2"/>
        <v>59</v>
      </c>
      <c r="G62">
        <v>770</v>
      </c>
      <c r="H62" t="str">
        <f t="shared" si="0"/>
        <v>Agent-ID-770</v>
      </c>
    </row>
    <row r="63" spans="5:14" x14ac:dyDescent="0.25">
      <c r="E63" s="6" t="s">
        <v>96</v>
      </c>
      <c r="F63">
        <f t="shared" si="2"/>
        <v>60</v>
      </c>
      <c r="G63">
        <v>898</v>
      </c>
      <c r="H63" t="str">
        <f t="shared" si="0"/>
        <v>Agent-ID-898</v>
      </c>
    </row>
    <row r="64" spans="5:14" x14ac:dyDescent="0.25">
      <c r="E64" s="6" t="s">
        <v>140</v>
      </c>
      <c r="F64">
        <f t="shared" si="2"/>
        <v>61</v>
      </c>
      <c r="G64">
        <v>261</v>
      </c>
      <c r="H64" t="str">
        <f t="shared" si="0"/>
        <v>Agent-ID-261</v>
      </c>
    </row>
    <row r="65" spans="5:8" x14ac:dyDescent="0.25">
      <c r="E65" s="6" t="s">
        <v>56</v>
      </c>
      <c r="F65">
        <f t="shared" si="2"/>
        <v>62</v>
      </c>
      <c r="G65">
        <v>124</v>
      </c>
      <c r="H65" t="str">
        <f t="shared" si="0"/>
        <v>Agent-ID-124</v>
      </c>
    </row>
    <row r="66" spans="5:8" x14ac:dyDescent="0.25">
      <c r="E66" s="6" t="s">
        <v>122</v>
      </c>
      <c r="F66">
        <f t="shared" si="2"/>
        <v>63</v>
      </c>
      <c r="G66">
        <v>630</v>
      </c>
      <c r="H66" t="str">
        <f t="shared" si="0"/>
        <v>Agent-ID-630</v>
      </c>
    </row>
    <row r="67" spans="5:8" x14ac:dyDescent="0.25">
      <c r="E67" s="6" t="s">
        <v>44</v>
      </c>
      <c r="F67">
        <f t="shared" si="2"/>
        <v>64</v>
      </c>
      <c r="G67">
        <v>403</v>
      </c>
      <c r="H67" t="str">
        <f t="shared" si="0"/>
        <v>Agent-ID-403</v>
      </c>
    </row>
    <row r="68" spans="5:8" x14ac:dyDescent="0.25">
      <c r="E68" s="6" t="s">
        <v>132</v>
      </c>
      <c r="F68">
        <f t="shared" si="2"/>
        <v>65</v>
      </c>
      <c r="G68">
        <v>212</v>
      </c>
      <c r="H68" t="str">
        <f t="shared" si="0"/>
        <v>Agent-ID-212</v>
      </c>
    </row>
    <row r="69" spans="5:8" x14ac:dyDescent="0.25">
      <c r="E69" s="6" t="s">
        <v>106</v>
      </c>
      <c r="F69">
        <f t="shared" si="2"/>
        <v>66</v>
      </c>
      <c r="G69">
        <v>663</v>
      </c>
      <c r="H69" t="str">
        <f t="shared" ref="H69:H76" si="4">"Agent-ID-"&amp;G69</f>
        <v>Agent-ID-663</v>
      </c>
    </row>
    <row r="70" spans="5:8" x14ac:dyDescent="0.25">
      <c r="E70" s="6" t="s">
        <v>65</v>
      </c>
      <c r="F70">
        <f t="shared" ref="F70:F76" si="5">+F69+1</f>
        <v>67</v>
      </c>
      <c r="G70">
        <v>797</v>
      </c>
      <c r="H70" t="str">
        <f t="shared" si="4"/>
        <v>Agent-ID-797</v>
      </c>
    </row>
    <row r="71" spans="5:8" x14ac:dyDescent="0.25">
      <c r="E71" s="6" t="s">
        <v>27</v>
      </c>
      <c r="F71">
        <f t="shared" si="5"/>
        <v>68</v>
      </c>
      <c r="G71">
        <v>863</v>
      </c>
      <c r="H71" t="str">
        <f t="shared" si="4"/>
        <v>Agent-ID-863</v>
      </c>
    </row>
    <row r="72" spans="5:8" x14ac:dyDescent="0.25">
      <c r="E72" s="6" t="s">
        <v>87</v>
      </c>
      <c r="F72">
        <f t="shared" si="5"/>
        <v>69</v>
      </c>
      <c r="G72">
        <v>284</v>
      </c>
      <c r="H72" t="str">
        <f t="shared" si="4"/>
        <v>Agent-ID-284</v>
      </c>
    </row>
    <row r="73" spans="5:8" x14ac:dyDescent="0.25">
      <c r="E73" s="6" t="s">
        <v>68</v>
      </c>
      <c r="F73">
        <f t="shared" si="5"/>
        <v>70</v>
      </c>
      <c r="G73">
        <v>540</v>
      </c>
      <c r="H73" t="str">
        <f t="shared" si="4"/>
        <v>Agent-ID-540</v>
      </c>
    </row>
    <row r="74" spans="5:8" x14ac:dyDescent="0.25">
      <c r="E74" s="6" t="s">
        <v>103</v>
      </c>
      <c r="F74">
        <f t="shared" si="5"/>
        <v>71</v>
      </c>
      <c r="G74">
        <v>502</v>
      </c>
      <c r="H74" t="str">
        <f t="shared" si="4"/>
        <v>Agent-ID-502</v>
      </c>
    </row>
    <row r="75" spans="5:8" x14ac:dyDescent="0.25">
      <c r="E75" s="6" t="s">
        <v>37</v>
      </c>
      <c r="F75">
        <f t="shared" si="5"/>
        <v>72</v>
      </c>
      <c r="G75">
        <v>472</v>
      </c>
      <c r="H75" t="str">
        <f t="shared" si="4"/>
        <v>Agent-ID-472</v>
      </c>
    </row>
    <row r="76" spans="5:8" x14ac:dyDescent="0.25">
      <c r="E76" s="6" t="s">
        <v>145</v>
      </c>
      <c r="F76">
        <f t="shared" si="5"/>
        <v>73</v>
      </c>
      <c r="G76">
        <v>180</v>
      </c>
      <c r="H76" t="str">
        <f t="shared" si="4"/>
        <v>Agent-ID-180</v>
      </c>
    </row>
  </sheetData>
  <sortState xmlns:xlrd2="http://schemas.microsoft.com/office/spreadsheetml/2017/richdata2" ref="K4:K203">
    <sortCondition ref="K4:K203"/>
  </sortState>
  <conditionalFormatting sqref="G4:G76">
    <cfRule type="duplicateValues" dxfId="2" priority="3"/>
  </conditionalFormatting>
  <conditionalFormatting sqref="M4:M5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DS-1</vt:lpstr>
      <vt:lpstr>DS-2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Sulekha Ramayya</dc:creator>
  <cp:lastModifiedBy>Sulekha Ramayya</cp:lastModifiedBy>
  <dcterms:created xsi:type="dcterms:W3CDTF">2018-03-01T17:18:06Z</dcterms:created>
  <dcterms:modified xsi:type="dcterms:W3CDTF">2026-01-29T18:43:44Z</dcterms:modified>
</cp:coreProperties>
</file>